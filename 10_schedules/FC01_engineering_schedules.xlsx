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e884c7ffc44d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882a1d7d11ae48ff"/>
    <x:sheet xmlns:r="http://schemas.openxmlformats.org/officeDocument/2006/relationships" name="PLC I-O" sheetId="2" r:id="Rf76fc0e0bf3642ec"/>
    <x:sheet xmlns:r="http://schemas.openxmlformats.org/officeDocument/2006/relationships" name="HMI Tags" sheetId="3" r:id="R5804b6842af54cc9"/>
    <x:sheet xmlns:r="http://schemas.openxmlformats.org/officeDocument/2006/relationships" name="Alarms" sheetId="4" r:id="R71a6df79c9fd4590"/>
    <x:sheet xmlns:r="http://schemas.openxmlformats.org/officeDocument/2006/relationships" name="VFD Parameters" sheetId="5" r:id="R859c139cddf94593"/>
    <x:sheet xmlns:r="http://schemas.openxmlformats.org/officeDocument/2006/relationships" name="NVIDIA Interface" sheetId="6" r:id="Rfce14d7940014d0d"/>
    <x:sheet xmlns:r="http://schemas.openxmlformats.org/officeDocument/2006/relationships" name="Network Nodes" sheetId="7" r:id="R316b47250fc34bc4"/>
    <x:sheet xmlns:r="http://schemas.openxmlformats.org/officeDocument/2006/relationships" name="Terminal Plan" sheetId="8" r:id="R57c9c4c1bdc944b3"/>
    <x:sheet xmlns:r="http://schemas.openxmlformats.org/officeDocument/2006/relationships" name="Cable Schedule" sheetId="9" r:id="Rccce71c7d9c14e1b"/>
    <x:sheet xmlns:r="http://schemas.openxmlformats.org/officeDocument/2006/relationships" name="Wire List" sheetId="10" r:id="R453da30a79e044c0"/>
    <x:sheet xmlns:r="http://schemas.openxmlformats.org/officeDocument/2006/relationships" name="BOM" sheetId="11" r:id="R19c9264791b844cb"/>
    <x:sheet xmlns:r="http://schemas.openxmlformats.org/officeDocument/2006/relationships" name="Load Budget" sheetId="12" r:id="Ra7d59e5331e74b06"/>
    <x:sheet xmlns:r="http://schemas.openxmlformats.org/officeDocument/2006/relationships" name="Panel Placement" sheetId="13" r:id="Rabbab07fc4794760"/>
    <x:sheet xmlns:r="http://schemas.openxmlformats.org/officeDocument/2006/relationships" name="Requirements Trace" sheetId="14" r:id="Ra0c81a55f05a4ec9"/>
    <x:sheet xmlns:r="http://schemas.openxmlformats.org/officeDocument/2006/relationships" name="Test Coverage" sheetId="15" r:id="Rfdf71b79de604371"/>
    <x:sheet xmlns:r="http://schemas.openxmlformats.org/officeDocument/2006/relationships" name="Release Summary" sheetId="16" r:id="R59fa805c8db348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  <x:fill>
      <x:patternFill patternType="solid">
        <x:fgColor rgb="FFFFF1F1"/>
      </x:patternFill>
    </x:fill>
  </x:fills>
  <x:borders count="2">
    <x:border/>
    <x:border/>
  </x:borders>
  <x:cellStyleXfs count="1">
    <x:xf numFmtId="0" fontId="0" fillId="0" borderId="0"/>
  </x:cellStyleXfs>
  <x:cellXfs count="43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c1f69819194061" /><Relationship Type="http://schemas.openxmlformats.org/officeDocument/2006/relationships/theme" Target="/xl/theme/theme1.xml" Id="R6e89b58928b64ee2" /><Relationship Type="http://schemas.openxmlformats.org/officeDocument/2006/relationships/sharedStrings" Target="/xl/sharedStrings.xml" Id="Rc45b614f427c4747" /><Relationship Type="http://schemas.openxmlformats.org/officeDocument/2006/relationships/worksheet" Target="/xl/worksheets/sheet1.xml" Id="R882a1d7d11ae48ff" /><Relationship Type="http://schemas.openxmlformats.org/officeDocument/2006/relationships/worksheet" Target="/xl/worksheets/sheet2.xml" Id="Rf76fc0e0bf3642ec" /><Relationship Type="http://schemas.openxmlformats.org/officeDocument/2006/relationships/worksheet" Target="/xl/worksheets/sheet3.xml" Id="R5804b6842af54cc9" /><Relationship Type="http://schemas.openxmlformats.org/officeDocument/2006/relationships/worksheet" Target="/xl/worksheets/sheet4.xml" Id="R71a6df79c9fd4590" /><Relationship Type="http://schemas.openxmlformats.org/officeDocument/2006/relationships/worksheet" Target="/xl/worksheets/sheet5.xml" Id="R859c139cddf94593" /><Relationship Type="http://schemas.openxmlformats.org/officeDocument/2006/relationships/worksheet" Target="/xl/worksheets/sheet6.xml" Id="Rfce14d7940014d0d" /><Relationship Type="http://schemas.openxmlformats.org/officeDocument/2006/relationships/worksheet" Target="/xl/worksheets/sheet7.xml" Id="R316b47250fc34bc4" /><Relationship Type="http://schemas.openxmlformats.org/officeDocument/2006/relationships/worksheet" Target="/xl/worksheets/sheet8.xml" Id="R57c9c4c1bdc944b3" /><Relationship Type="http://schemas.openxmlformats.org/officeDocument/2006/relationships/worksheet" Target="/xl/worksheets/sheet9.xml" Id="Rccce71c7d9c14e1b" /><Relationship Type="http://schemas.openxmlformats.org/officeDocument/2006/relationships/worksheet" Target="/xl/worksheets/sheet10.xml" Id="R453da30a79e044c0" /><Relationship Type="http://schemas.openxmlformats.org/officeDocument/2006/relationships/worksheet" Target="/xl/worksheets/sheet11.xml" Id="R19c9264791b844cb" /><Relationship Type="http://schemas.openxmlformats.org/officeDocument/2006/relationships/worksheet" Target="/xl/worksheets/sheet12.xml" Id="Ra7d59e5331e74b06" /><Relationship Type="http://schemas.openxmlformats.org/officeDocument/2006/relationships/worksheet" Target="/xl/worksheets/sheet13.xml" Id="Rabbab07fc4794760" /><Relationship Type="http://schemas.openxmlformats.org/officeDocument/2006/relationships/worksheet" Target="/xl/worksheets/sheet14.xml" Id="Ra0c81a55f05a4ec9" /><Relationship Type="http://schemas.openxmlformats.org/officeDocument/2006/relationships/worksheet" Target="/xl/worksheets/sheet15.xml" Id="Rfdf71b79de604371" /><Relationship Type="http://schemas.openxmlformats.org/officeDocument/2006/relationships/worksheet" Target="/xl/worksheets/sheet16.xml" Id="R59fa805c8db34828" /></Relationships>
</file>

<file path=xl/tables/table1.xml><?xml version="1.0" encoding="utf-8"?>
<x:table xmlns:x="http://schemas.openxmlformats.org/spreadsheetml/2006/main" id="1" name="SiemensHardwareTable" displayName="SiemensHardwareTable" ref="A1:H11" headerRowCount="1" totalsRowCount="0" totalsRowShown="0">
  <x:autoFilter ref="A1:H11"/>
  <x:tableColumns count="8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MITagsTable" displayName="HMITagsTable" ref="A1:F75" headerRowCount="1" totalsRowCount="0" totalsRowShown="0">
  <x:autoFilter ref="A1:F75"/>
  <x:tableColumns count="6">
    <x:tableColumn id="1" name="hmi_tag"/>
    <x:tableColumn id="2" name="plc_source"/>
    <x:tableColumn id="3" name="access"/>
    <x:tableColumn id="4" name="screen"/>
    <x:tableColumn id="5" name="role"/>
    <x:tableColumn id="6" name="disabled_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larmsTable" displayName="AlarmsTable" ref="A1:F23" headerRowCount="1" totalsRowCount="0" totalsRowShown="0">
  <x:autoFilter ref="A1:F23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FDParametersTable" displayName="VFDParametersTable" ref="A1:D6" headerRowCount="1" totalsRowCount="0" totalsRowShown="0">
  <x:autoFilter ref="A1:D6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NVIDIAInterfaceTable" displayName="NVIDIAInterfaceTable" ref="A1:F22" headerRowCount="1" totalsRowCount="0" totalsRowShown="0">
  <x:autoFilter ref="A1:F22"/>
  <x:tableColumns count="6">
    <x:tableColumn id="1" name="signal"/>
    <x:tableColumn id="2" name="data_type"/>
    <x:tableColumn id="3" name="owner"/>
    <x:tableColumn id="4" name="meaning"/>
    <x:tableColumn id="5" name="transport"/>
    <x:tableColumn id="6" name="timeout_m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etworkNodesTable" displayName="NetworkNodesTable" ref="A1:E7" headerRowCount="1" totalsRowCount="0" totalsRowShown="0">
  <x:autoFilter ref="A1:E7"/>
  <x:tableColumns count="5">
    <x:tableColumn id="1" name="node"/>
    <x:tableColumn id="2" name="ip"/>
    <x:tableColumn id="3" name="vlan"/>
    <x:tableColumn id="4" name="owner"/>
    <x:tableColumn id="5" name="rol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erminalPlanTable" displayName="TerminalPlanTable" ref="A1:F75" headerRowCount="1" totalsRowCount="0" totalsRowShown="0">
  <x:autoFilter ref="A1:F75"/>
  <x:tableColumns count="6">
    <x:tableColumn id="1" name="terminal"/>
    <x:tableColumn id="2" name="symbol"/>
    <x:tableColumn id="3" name="plc_address"/>
    <x:tableColumn id="4" name="device"/>
    <x:tableColumn id="5" name="potential"/>
    <x:tableColumn id="6" name="statu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bleScheduleTable" displayName="CableScheduleTable" ref="A1:F17" headerRowCount="1" totalsRowCount="0" totalsRowShown="0">
  <x:autoFilter ref="A1:F17"/>
  <x:tableColumns count="6">
    <x:tableColumn id="1" name="cable_id"/>
    <x:tableColumn id="2" name="device"/>
    <x:tableColumn id="3" name="cores"/>
    <x:tableColumn id="4" name="type"/>
    <x:tableColumn id="5" name="termination"/>
    <x:tableColumn id="6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WireListTable" displayName="WireListTable" ref="A1:F75" headerRowCount="1" totalsRowCount="0" totalsRowShown="0">
  <x:autoFilter ref="A1:F75"/>
  <x:tableColumns count="6">
    <x:tableColumn id="1" name="wire_no"/>
    <x:tableColumn id="2" name="from"/>
    <x:tableColumn id="3" name="to"/>
    <x:tableColumn id="4" name="symbol"/>
    <x:tableColumn id="5" name="color"/>
    <x:tableColumn id="6" name="cross_section_mm2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BOMTable" displayName="BOMTable" ref="A1:F11" headerRowCount="1" totalsRowCount="0" totalsRowShown="0">
  <x:autoFilter ref="A1:F11"/>
  <x:tableColumns count="6">
    <x:tableColumn id="1" name="tag"/>
    <x:tableColumn id="2" name="description"/>
    <x:tableColumn id="3" name="manufacturer"/>
    <x:tableColumn id="4" name="order_no"/>
    <x:tableColumn id="5" name="qty"/>
    <x:tableColumn id="6" name="procurement_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LoadBudgetTable" displayName="LoadBudgetTable" ref="A1:F8" headerRowCount="1" totalsRowCount="0" totalsRowShown="0">
  <x:autoFilter ref="A1:F8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PanelPlacementTable" displayName="PanelPlacementTable" ref="A1:H11" headerRowCount="1" totalsRowCount="0" totalsRowShown="0">
  <x:autoFilter ref="A1:H11"/>
  <x:tableColumns count="8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zone"/>
    <x:tableColumn id="8" name="model_statu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RequirementsTraceTable" displayName="RequirementsTraceTable" ref="A1:D26" headerRowCount="1" totalsRowCount="0" totalsRowShown="0">
  <x:autoFilter ref="A1:D26"/>
  <x:tableColumns count="4">
    <x:tableColumn id="1" name="requirement_id"/>
    <x:tableColumn id="2" name="requirement"/>
    <x:tableColumn id="3" name="verification"/>
    <x:tableColumn id="4" name="statu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estCoverageTable" displayName="TestCoverageTable" ref="A1:E33" headerRowCount="1" totalsRowCount="0" totalsRowShown="0">
  <x:autoFilter ref="A1:E33"/>
  <x:tableColumns count="5">
    <x:tableColumn id="1" name="test_id"/>
    <x:tableColumn id="2" name="scenario"/>
    <x:tableColumn id="3" name="method"/>
    <x:tableColumn id="4" name="expected"/>
    <x:tableColumn id="5" name="native_plcsi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d7b17e67bb47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51443467bb746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d83e9585f85471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437c8e2064d47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b59208647504d6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849e319f6574cf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3351c728ceb44f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513c694f01854d2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be6086c3b7624ae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9afdd8fb9355459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f4ae5d2fb63e415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ccf1cc2af697407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3af90dab281c44b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b2c140ebe97449b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ec8930e175254d9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33.75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status</x:v>
      </x:c>
      <x:c r="H1" s="12" t="str">
        <x:v>basis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Selected; official lifecycle page checked</x:v>
      </x:c>
      <x:c r="H2" s="6" t="str">
        <x:v>Current standard CPU, PROFINET IRT, diagnostic capacity; native TIA compatibility gate open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Selected; official lifecycle page checked</x:v>
      </x:c>
      <x:c r="H3" s="6" t="str">
        <x:v>Two independent 24 V pulse channels with channel diagnostics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Selected; official product page checked</x:v>
      </x:c>
      <x:c r="H4" s="6" t="str">
        <x:v>32 PNP inputs, diagnostics and spare capacity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Selected; official product page checked</x:v>
      </x:c>
      <x:c r="H5" s="6" t="str">
        <x:v>32 diagnostic outputs; field loads through interposing relays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Selected; official product page checked</x:v>
      </x:c>
      <x:c r="H6" s="6" t="str">
        <x:v>Individually grouped high-resolution 4–20 mA inputs and diagnostics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Selected; official active product page checked</x:v>
      </x:c>
      <x:c r="H7" s="6" t="str">
        <x:v>7-inch Unified panel; requires WinCC Unified Comfort V16 or later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Selected; motor/site validation required</x:v>
      </x:c>
      <x:c r="H8" s="6" t="str">
        <x:v>PROFINET diagnostics; rating provisional until motor nameplate and EMC design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Selected; motor/site validation required</x:v>
      </x:c>
      <x:c r="H9" s="6" t="str">
        <x:v>PROFINET diagnostics; rating provisional until pump/motor data</x:v>
      </x:c>
    </x:row>
    <x:row r="10" ht="27" customHeight="1">
      <x:c r="A10" s="6" t="str">
        <x:v>-PC200</x:v>
      </x:c>
      <x:c r="B10" s="6" t="str">
        <x:v>Vision edge compute</x:v>
      </x:c>
      <x:c r="C10" s="6" t="str">
        <x:v>NVIDIA</x:v>
      </x:c>
      <x:c r="D10" s="6" t="str">
        <x:v>Jetson Orin NX 16GB module on industrial carrier</x:v>
      </x:c>
      <x:c r="E10" s="6" t="str">
        <x:v>Carrier/integration SKU TBD</x:v>
      </x:c>
      <x:c r="F10" s="6" t="str">
        <x:v>1</x:v>
      </x:c>
      <x:c r="G10" s="6" t="str">
        <x:v>Architecture selection; procurement decision open</x:v>
      </x:c>
      <x:c r="H10" s="6" t="str">
        <x:v>DeepStream-supported Jetson Orin; carrier, thermal, EMC and lifecycle require supplier confirmation</x:v>
      </x:c>
    </x:row>
    <x:row r="11" ht="27" customHeight="1">
      <x:c r="A11" s="6" t="str">
        <x:v>-SW100</x:v>
      </x:c>
      <x:c r="B11" s="6" t="str">
        <x:v>Industrial Ethernet switch</x:v>
      </x:c>
      <x:c r="C11" s="6" t="str">
        <x:v>Siemens</x:v>
      </x:c>
      <x:c r="D11" s="6" t="str">
        <x:v>SCALANCE XB208 unmanaged</x:v>
      </x:c>
      <x:c r="E11" s="6" t="str">
        <x:v>6GK5008-0BA10-1AB2</x:v>
      </x:c>
      <x:c r="F11" s="6" t="str">
        <x:v>1</x:v>
      </x:c>
      <x:c r="G11" s="6" t="str">
        <x:v>Preliminary; official compatibility/procurement check open</x:v>
      </x:c>
      <x:c r="H11" s="6" t="str">
        <x:v>Eight ports allow PLC, HMI, two drives, vision and service with spare ports</x:v>
      </x:c>
    </x:row>
  </x:sheetData>
  <x:pageMargins left="0.7" right="0.7" top="0.75" bottom="0.75" header="0.3" footer="0.3"/>
  <x:tableParts count="1">
    <x:tablePart xmlns:r="http://schemas.openxmlformats.org/officeDocument/2006/relationships" r:id="Re4d7b17e67bb47c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Safety relay mirror</x:v>
      </x:c>
      <x:c r="G2" s="6" t="str">
        <x:v>External safety chain healthy (monitor only)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Guard circuit mirror</x:v>
      </x:c>
      <x:c r="G3" s="6" t="str">
        <x:v>Guard status monitor only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CONVEYOR_READY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-U100</x:v>
      </x:c>
      <x:c r="G6" s="6" t="str">
        <x:v>Conveyor VFD ready</x:v>
      </x:c>
      <x:c r="H6" s="6" t="str">
        <x:v>FALSE</x:v>
      </x:c>
      <x:c r="I6" s="6" t="str">
        <x:v>Standard control</x:v>
      </x:c>
    </x:row>
    <x:row r="7" ht="27" customHeight="1">
      <x:c r="A7" s="6" t="str">
        <x:v>CONVEYOR_RUNNING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-U100</x:v>
      </x:c>
      <x:c r="G7" s="6" t="str">
        <x:v>Conveyor VFD running</x:v>
      </x:c>
      <x:c r="H7" s="6" t="str">
        <x:v>FALSE</x:v>
      </x:c>
      <x:c r="I7" s="6" t="str">
        <x:v>Standard control</x:v>
      </x:c>
    </x:row>
    <x:row r="8" ht="27" customHeight="1">
      <x:c r="A8" s="6" t="str">
        <x:v>CONVEYOR_FAULT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-U100</x:v>
      </x:c>
      <x:c r="G8" s="6" t="str">
        <x:v>Conveyor VFD fault</x:v>
      </x:c>
      <x:c r="H8" s="6" t="str">
        <x:v>FALSE</x:v>
      </x:c>
      <x:c r="I8" s="6" t="str">
        <x:v>Standard control</x:v>
      </x:c>
    </x:row>
    <x:row r="9" ht="27" customHeight="1">
      <x:c r="A9" s="6" t="str">
        <x:v>PUMP_READY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-U101</x:v>
      </x:c>
      <x:c r="G9" s="6" t="str">
        <x:v>Pump VFD ready</x:v>
      </x:c>
      <x:c r="H9" s="6" t="str">
        <x:v>FALSE</x:v>
      </x:c>
      <x:c r="I9" s="6" t="str">
        <x:v>Standard control</x:v>
      </x:c>
    </x:row>
    <x:row r="10" ht="27" customHeight="1">
      <x:c r="A10" s="6" t="str">
        <x:v>PUMP_RUNNING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-U101</x:v>
      </x:c>
      <x:c r="G10" s="6" t="str">
        <x:v>Pump VFD running</x:v>
      </x:c>
      <x:c r="H10" s="6" t="str">
        <x:v>FALSE</x:v>
      </x:c>
      <x:c r="I10" s="6" t="str">
        <x:v>Standard control</x:v>
      </x:c>
    </x:row>
    <x:row r="11" ht="27" customHeight="1">
      <x:c r="A11" s="6" t="str">
        <x:v>PUMP_FAULT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-U101</x:v>
      </x:c>
      <x:c r="G11" s="6" t="str">
        <x:v>Pump VFD fault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CONVEYOR_RUN_CMD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-K200</x:v>
      </x:c>
      <x:c r="G34" s="6" t="str">
        <x:v>Conveyor run relay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PUMP_RUN_CMD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-K201</x:v>
      </x:c>
      <x:c r="G35" s="6" t="str">
        <x:v>Pump run relay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751443467bb7469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screen</x:v>
      </x:c>
      <x:c r="E1" s="12" t="str">
        <x:v>role</x:v>
      </x:c>
      <x:c r="F1" s="12" t="str">
        <x:v>disabled_reason</x:v>
      </x:c>
    </x:row>
    <x:row r="2" ht="27" customHeight="1">
      <x:c r="A2" s="6" t="str">
        <x:v>SAFETY_OK</x:v>
      </x:c>
      <x:c r="B2" s="6" t="str">
        <x:v>SAFETY_OK</x:v>
      </x:c>
      <x:c r="C2" s="6" t="str">
        <x:v>Read</x:v>
      </x:c>
      <x:c r="D2" s="6" t="str">
        <x:v>Diagnostics</x:v>
      </x:c>
      <x:c r="E2" s="6" t="str">
        <x:v>Operator</x:v>
      </x:c>
      <x:c r="F2" s="6" t="str">
        <x:v>Interlock/permissive/state reason from HMI interface DB</x:v>
      </x:c>
    </x:row>
    <x:row r="3" ht="27" customHeight="1">
      <x:c r="A3" s="6" t="str">
        <x:v>GUARD_CLOSED_STATUS</x:v>
      </x:c>
      <x:c r="B3" s="6" t="str">
        <x:v>GUARD_CLOSED_STATUS</x:v>
      </x:c>
      <x:c r="C3" s="6" t="str">
        <x:v>Read</x:v>
      </x:c>
      <x:c r="D3" s="6" t="str">
        <x:v>Diagnostics</x:v>
      </x:c>
      <x:c r="E3" s="6" t="str">
        <x:v>Operator</x:v>
      </x:c>
      <x:c r="F3" s="6" t="str">
        <x:v>Interlock/permissive/state reason from HMI interface DB</x:v>
      </x:c>
    </x:row>
    <x:row r="4" ht="27" customHeight="1">
      <x:c r="A4" s="6" t="str">
        <x:v>AIR_PRESSURE_OK</x:v>
      </x:c>
      <x:c r="B4" s="6" t="str">
        <x:v>AIR_PRESSURE_OK</x:v>
      </x:c>
      <x:c r="C4" s="6" t="str">
        <x:v>Read</x:v>
      </x:c>
      <x:c r="D4" s="6" t="str">
        <x:v>Diagnostics</x:v>
      </x:c>
      <x:c r="E4" s="6" t="str">
        <x:v>Operator</x:v>
      </x:c>
      <x:c r="F4" s="6" t="str">
        <x:v>Interlock/permissive/state reason from HMI interface DB</x:v>
      </x:c>
    </x:row>
    <x:row r="5" ht="27" customHeight="1">
      <x:c r="A5" s="6" t="str">
        <x:v>PRODUCT_SUPPLY_OK</x:v>
      </x:c>
      <x:c r="B5" s="6" t="str">
        <x:v>PRODUCT_SUPPLY_OK</x:v>
      </x:c>
      <x:c r="C5" s="6" t="str">
        <x:v>Read</x:v>
      </x:c>
      <x:c r="D5" s="6" t="str">
        <x:v>Diagnostics</x:v>
      </x:c>
      <x:c r="E5" s="6" t="str">
        <x:v>Operator</x:v>
      </x:c>
      <x:c r="F5" s="6" t="str">
        <x:v>Interlock/permissive/state reason from HMI interface DB</x:v>
      </x:c>
    </x:row>
    <x:row r="6" ht="27" customHeight="1">
      <x:c r="A6" s="6" t="str">
        <x:v>CONVEYOR_READY</x:v>
      </x:c>
      <x:c r="B6" s="6" t="str">
        <x:v>CONVEYOR_READY</x:v>
      </x:c>
      <x:c r="C6" s="6" t="str">
        <x:v>Read</x:v>
      </x:c>
      <x:c r="D6" s="6" t="str">
        <x:v>Diagnostics</x:v>
      </x:c>
      <x:c r="E6" s="6" t="str">
        <x:v>Operator</x:v>
      </x:c>
      <x:c r="F6" s="6" t="str">
        <x:v>Interlock/permissive/state reason from HMI interface DB</x:v>
      </x:c>
    </x:row>
    <x:row r="7" ht="27" customHeight="1">
      <x:c r="A7" s="6" t="str">
        <x:v>CONVEYOR_RUNNING</x:v>
      </x:c>
      <x:c r="B7" s="6" t="str">
        <x:v>CONVEYOR_RUNNING</x:v>
      </x:c>
      <x:c r="C7" s="6" t="str">
        <x:v>Read</x:v>
      </x:c>
      <x:c r="D7" s="6" t="str">
        <x:v>Diagnostics</x:v>
      </x:c>
      <x:c r="E7" s="6" t="str">
        <x:v>Operator</x:v>
      </x:c>
      <x:c r="F7" s="6" t="str">
        <x:v>Interlock/permissive/state reason from HMI interface DB</x:v>
      </x:c>
    </x:row>
    <x:row r="8" ht="27" customHeight="1">
      <x:c r="A8" s="6" t="str">
        <x:v>CONVEYOR_FAULT</x:v>
      </x:c>
      <x:c r="B8" s="6" t="str">
        <x:v>CONVEYOR_FAULT</x:v>
      </x:c>
      <x:c r="C8" s="6" t="str">
        <x:v>Read</x:v>
      </x:c>
      <x:c r="D8" s="6" t="str">
        <x:v>Diagnostics</x:v>
      </x:c>
      <x:c r="E8" s="6" t="str">
        <x:v>Operator</x:v>
      </x:c>
      <x:c r="F8" s="6" t="str">
        <x:v>Interlock/permissive/state reason from HMI interface DB</x:v>
      </x:c>
    </x:row>
    <x:row r="9" ht="27" customHeight="1">
      <x:c r="A9" s="6" t="str">
        <x:v>PUMP_READY</x:v>
      </x:c>
      <x:c r="B9" s="6" t="str">
        <x:v>PUMP_READY</x:v>
      </x:c>
      <x:c r="C9" s="6" t="str">
        <x:v>Read</x:v>
      </x:c>
      <x:c r="D9" s="6" t="str">
        <x:v>Diagnostics</x:v>
      </x:c>
      <x:c r="E9" s="6" t="str">
        <x:v>Operator</x:v>
      </x:c>
      <x:c r="F9" s="6" t="str">
        <x:v>Interlock/permissive/state reason from HMI interface DB</x:v>
      </x:c>
    </x:row>
    <x:row r="10" ht="27" customHeight="1">
      <x:c r="A10" s="6" t="str">
        <x:v>PUMP_RUNNING</x:v>
      </x:c>
      <x:c r="B10" s="6" t="str">
        <x:v>PUMP_RUNNING</x:v>
      </x:c>
      <x:c r="C10" s="6" t="str">
        <x:v>Read</x:v>
      </x:c>
      <x:c r="D10" s="6" t="str">
        <x:v>Diagnostics</x:v>
      </x:c>
      <x:c r="E10" s="6" t="str">
        <x:v>Operator</x:v>
      </x:c>
      <x:c r="F10" s="6" t="str">
        <x:v>Interlock/permissive/state reason from HMI interface DB</x:v>
      </x:c>
    </x:row>
    <x:row r="11" ht="27" customHeight="1">
      <x:c r="A11" s="6" t="str">
        <x:v>PUMP_FAULT</x:v>
      </x:c>
      <x:c r="B11" s="6" t="str">
        <x:v>PUMP_FAULT</x:v>
      </x:c>
      <x:c r="C11" s="6" t="str">
        <x:v>Read</x:v>
      </x:c>
      <x:c r="D11" s="6" t="str">
        <x:v>Diagnostics</x:v>
      </x:c>
      <x:c r="E11" s="6" t="str">
        <x:v>Operator</x:v>
      </x:c>
      <x:c r="F11" s="6" t="str">
        <x:v>Interlock/permissive/state reason from HMI interface DB</x:v>
      </x:c>
    </x:row>
    <x:row r="12" ht="27" customHeight="1">
      <x:c r="A12" s="6" t="str">
        <x:v>BOTTLE_AT_NEST_1</x:v>
      </x:c>
      <x:c r="B12" s="6" t="str">
        <x:v>BOTTLE_AT_NEST_1</x:v>
      </x:c>
      <x:c r="C12" s="6" t="str">
        <x:v>Read</x:v>
      </x:c>
      <x:c r="D12" s="6" t="str">
        <x:v>Diagnostics</x:v>
      </x:c>
      <x:c r="E12" s="6" t="str">
        <x:v>Operator</x:v>
      </x:c>
      <x:c r="F12" s="6" t="str">
        <x:v>Interlock/permissive/state reason from HMI interface DB</x:v>
      </x:c>
    </x:row>
    <x:row r="13" ht="27" customHeight="1">
      <x:c r="A13" s="6" t="str">
        <x:v>BOTTLE_AT_NEST_2</x:v>
      </x:c>
      <x:c r="B13" s="6" t="str">
        <x:v>BOTTLE_AT_NEST_2</x:v>
      </x:c>
      <x:c r="C13" s="6" t="str">
        <x:v>Read</x:v>
      </x:c>
      <x:c r="D13" s="6" t="str">
        <x:v>Diagnostics</x:v>
      </x:c>
      <x:c r="E13" s="6" t="str">
        <x:v>Operator</x:v>
      </x:c>
      <x:c r="F13" s="6" t="str">
        <x:v>Interlock/permissive/state reason from HMI interface DB</x:v>
      </x:c>
    </x:row>
    <x:row r="14" ht="27" customHeight="1">
      <x:c r="A14" s="6" t="str">
        <x:v>GATE_OPEN_FB</x:v>
      </x:c>
      <x:c r="B14" s="6" t="str">
        <x:v>GATE_OPEN_FB</x:v>
      </x:c>
      <x:c r="C14" s="6" t="str">
        <x:v>Read</x:v>
      </x:c>
      <x:c r="D14" s="6" t="str">
        <x:v>Diagnostics</x:v>
      </x:c>
      <x:c r="E14" s="6" t="str">
        <x:v>Operator</x:v>
      </x:c>
      <x:c r="F14" s="6" t="str">
        <x:v>Interlock/permissive/state reason from HMI interface DB</x:v>
      </x:c>
    </x:row>
    <x:row r="15" ht="27" customHeight="1">
      <x:c r="A15" s="6" t="str">
        <x:v>GATE_CLOSED_FB</x:v>
      </x:c>
      <x:c r="B15" s="6" t="str">
        <x:v>GATE_CLOSED_FB</x:v>
      </x:c>
      <x:c r="C15" s="6" t="str">
        <x:v>Read</x:v>
      </x:c>
      <x:c r="D15" s="6" t="str">
        <x:v>Diagnostics</x:v>
      </x:c>
      <x:c r="E15" s="6" t="str">
        <x:v>Operator</x:v>
      </x:c>
      <x:c r="F15" s="6" t="str">
        <x:v>Interlock/permissive/state reason from HMI interface DB</x:v>
      </x:c>
    </x:row>
    <x:row r="16" ht="27" customHeight="1">
      <x:c r="A16" s="6" t="str">
        <x:v>CLAMP_RELEASED_FB</x:v>
      </x:c>
      <x:c r="B16" s="6" t="str">
        <x:v>CLAMP_RELEASED_FB</x:v>
      </x:c>
      <x:c r="C16" s="6" t="str">
        <x:v>Read</x:v>
      </x:c>
      <x:c r="D16" s="6" t="str">
        <x:v>Diagnostics</x:v>
      </x:c>
      <x:c r="E16" s="6" t="str">
        <x:v>Operator</x:v>
      </x:c>
      <x:c r="F16" s="6" t="str">
        <x:v>Interlock/permissive/state reason from HMI interface DB</x:v>
      </x:c>
    </x:row>
    <x:row r="17" ht="27" customHeight="1">
      <x:c r="A17" s="6" t="str">
        <x:v>CLAMP_ENGAGED_FB</x:v>
      </x:c>
      <x:c r="B17" s="6" t="str">
        <x:v>CLAMP_ENGAGED_FB</x:v>
      </x:c>
      <x:c r="C17" s="6" t="str">
        <x:v>Read</x:v>
      </x:c>
      <x:c r="D17" s="6" t="str">
        <x:v>Diagnostics</x:v>
      </x:c>
      <x:c r="E17" s="6" t="str">
        <x:v>Operator</x:v>
      </x:c>
      <x:c r="F17" s="6" t="str">
        <x:v>Interlock/permissive/state reason from HMI interface DB</x:v>
      </x:c>
    </x:row>
    <x:row r="18" ht="27" customHeight="1">
      <x:c r="A18" s="6" t="str">
        <x:v>FILL_VALVE_1_CLOSED_FB</x:v>
      </x:c>
      <x:c r="B18" s="6" t="str">
        <x:v>FILL_VALVE_1_CLOSED_FB</x:v>
      </x:c>
      <x:c r="C18" s="6" t="str">
        <x:v>Read</x:v>
      </x:c>
      <x:c r="D18" s="6" t="str">
        <x:v>Diagnostics</x:v>
      </x:c>
      <x:c r="E18" s="6" t="str">
        <x:v>Operator</x:v>
      </x:c>
      <x:c r="F18" s="6" t="str">
        <x:v>Interlock/permissive/state reason from HMI interface DB</x:v>
      </x:c>
    </x:row>
    <x:row r="19" ht="27" customHeight="1">
      <x:c r="A19" s="6" t="str">
        <x:v>FILL_VALVE_2_CLOSED_FB</x:v>
      </x:c>
      <x:c r="B19" s="6" t="str">
        <x:v>FILL_VALVE_2_CLOSED_FB</x:v>
      </x:c>
      <x:c r="C19" s="6" t="str">
        <x:v>Read</x:v>
      </x:c>
      <x:c r="D19" s="6" t="str">
        <x:v>Diagnostics</x:v>
      </x:c>
      <x:c r="E19" s="6" t="str">
        <x:v>Operator</x:v>
      </x:c>
      <x:c r="F19" s="6" t="str">
        <x:v>Interlock/permissive/state reason from HMI interface DB</x:v>
      </x:c>
    </x:row>
    <x:row r="20" ht="27" customHeight="1">
      <x:c r="A20" s="6" t="str">
        <x:v>CAPPER_READY</x:v>
      </x:c>
      <x:c r="B20" s="6" t="str">
        <x:v>CAPPER_READY</x:v>
      </x:c>
      <x:c r="C20" s="6" t="str">
        <x:v>Read</x:v>
      </x:c>
      <x:c r="D20" s="6" t="str">
        <x:v>Diagnostics</x:v>
      </x:c>
      <x:c r="E20" s="6" t="str">
        <x:v>Operator</x:v>
      </x:c>
      <x:c r="F20" s="6" t="str">
        <x:v>Interlock/permissive/state reason from HMI interface DB</x:v>
      </x:c>
    </x:row>
    <x:row r="21" ht="27" customHeight="1">
      <x:c r="A21" s="6" t="str">
        <x:v>CAPPER_BUSY</x:v>
      </x:c>
      <x:c r="B21" s="6" t="str">
        <x:v>CAPPER_BUSY</x:v>
      </x:c>
      <x:c r="C21" s="6" t="str">
        <x:v>Read</x:v>
      </x:c>
      <x:c r="D21" s="6" t="str">
        <x:v>Diagnostics</x:v>
      </x:c>
      <x:c r="E21" s="6" t="str">
        <x:v>Operator</x:v>
      </x:c>
      <x:c r="F21" s="6" t="str">
        <x:v>Interlock/permissive/state reason from HMI interface DB</x:v>
      </x:c>
    </x:row>
    <x:row r="22" ht="27" customHeight="1">
      <x:c r="A22" s="6" t="str">
        <x:v>CAPPER_COMPLETE</x:v>
      </x:c>
      <x:c r="B22" s="6" t="str">
        <x:v>CAPPER_COMPLETE</x:v>
      </x:c>
      <x:c r="C22" s="6" t="str">
        <x:v>Read</x:v>
      </x:c>
      <x:c r="D22" s="6" t="str">
        <x:v>Diagnostics</x:v>
      </x:c>
      <x:c r="E22" s="6" t="str">
        <x:v>Operator</x:v>
      </x:c>
      <x:c r="F22" s="6" t="str">
        <x:v>Interlock/permissive/state reason from HMI interface DB</x:v>
      </x:c>
    </x:row>
    <x:row r="23" ht="27" customHeight="1">
      <x:c r="A23" s="6" t="str">
        <x:v>CAPPER_FAULT</x:v>
      </x:c>
      <x:c r="B23" s="6" t="str">
        <x:v>CAPPER_FAULT</x:v>
      </x:c>
      <x:c r="C23" s="6" t="str">
        <x:v>Read</x:v>
      </x:c>
      <x:c r="D23" s="6" t="str">
        <x:v>Diagnostics</x:v>
      </x:c>
      <x:c r="E23" s="6" t="str">
        <x:v>Operator</x:v>
      </x:c>
      <x:c r="F23" s="6" t="str">
        <x:v>Interlock/permissive/state reason from HMI interface DB</x:v>
      </x:c>
    </x:row>
    <x:row r="24" ht="27" customHeight="1">
      <x:c r="A24" s="6" t="str">
        <x:v>LOCAL_RESET_PB</x:v>
      </x:c>
      <x:c r="B24" s="6" t="str">
        <x:v>LOCAL_RESET_PB</x:v>
      </x:c>
      <x:c r="C24" s="6" t="str">
        <x:v>Read</x:v>
      </x:c>
      <x:c r="D24" s="6" t="str">
        <x:v>Diagnostics</x:v>
      </x:c>
      <x:c r="E24" s="6" t="str">
        <x:v>Operator</x:v>
      </x:c>
      <x:c r="F24" s="6" t="str">
        <x:v>Interlock/permissive/state reason from HMI interface DB</x:v>
      </x:c>
    </x:row>
    <x:row r="25" ht="27" customHeight="1">
      <x:c r="A25" s="6" t="str">
        <x:v>LOCAL_STOP_PB</x:v>
      </x:c>
      <x:c r="B25" s="6" t="str">
        <x:v>LOCAL_STOP_PB</x:v>
      </x:c>
      <x:c r="C25" s="6" t="str">
        <x:v>Read</x:v>
      </x:c>
      <x:c r="D25" s="6" t="str">
        <x:v>Diagnostics</x:v>
      </x:c>
      <x:c r="E25" s="6" t="str">
        <x:v>Operator</x:v>
      </x:c>
      <x:c r="F25" s="6" t="str">
        <x:v>Interlock/permissive/state reason from HMI interface DB</x:v>
      </x:c>
    </x:row>
    <x:row r="26" ht="27" customHeight="1">
      <x:c r="A26" s="6" t="str">
        <x:v>DI_SPARE_01</x:v>
      </x:c>
      <x:c r="B26" s="6" t="str">
        <x:v>DI_SPARE_01</x:v>
      </x:c>
      <x:c r="C26" s="6" t="str">
        <x:v>Read</x:v>
      </x:c>
      <x:c r="D26" s="6" t="str">
        <x:v>Diagnostics</x:v>
      </x:c>
      <x:c r="E26" s="6" t="str">
        <x:v>Operator</x:v>
      </x:c>
      <x:c r="F26" s="6" t="str">
        <x:v>Interlock/permissive/state reason from HMI interface DB</x:v>
      </x:c>
    </x:row>
    <x:row r="27" ht="27" customHeight="1">
      <x:c r="A27" s="6" t="str">
        <x:v>DI_SPARE_02</x:v>
      </x:c>
      <x:c r="B27" s="6" t="str">
        <x:v>DI_SPARE_02</x:v>
      </x:c>
      <x:c r="C27" s="6" t="str">
        <x:v>Read</x:v>
      </x:c>
      <x:c r="D27" s="6" t="str">
        <x:v>Diagnostics</x:v>
      </x:c>
      <x:c r="E27" s="6" t="str">
        <x:v>Operator</x:v>
      </x:c>
      <x:c r="F27" s="6" t="str">
        <x:v>Interlock/permissive/state reason from HMI interface DB</x:v>
      </x:c>
    </x:row>
    <x:row r="28" ht="27" customHeight="1">
      <x:c r="A28" s="6" t="str">
        <x:v>DI_SPARE_03</x:v>
      </x:c>
      <x:c r="B28" s="6" t="str">
        <x:v>DI_SPARE_03</x:v>
      </x:c>
      <x:c r="C28" s="6" t="str">
        <x:v>Read</x:v>
      </x:c>
      <x:c r="D28" s="6" t="str">
        <x:v>Diagnostics</x:v>
      </x:c>
      <x:c r="E28" s="6" t="str">
        <x:v>Operator</x:v>
      </x:c>
      <x:c r="F28" s="6" t="str">
        <x:v>Interlock/permissive/state reason from HMI interface DB</x:v>
      </x:c>
    </x:row>
    <x:row r="29" ht="27" customHeight="1">
      <x:c r="A29" s="6" t="str">
        <x:v>DI_SPARE_04</x:v>
      </x:c>
      <x:c r="B29" s="6" t="str">
        <x:v>DI_SPARE_04</x:v>
      </x:c>
      <x:c r="C29" s="6" t="str">
        <x:v>Read</x:v>
      </x:c>
      <x:c r="D29" s="6" t="str">
        <x:v>Diagnostics</x:v>
      </x:c>
      <x:c r="E29" s="6" t="str">
        <x:v>Operator</x:v>
      </x:c>
      <x:c r="F29" s="6" t="str">
        <x:v>Interlock/permissive/state reason from HMI interface DB</x:v>
      </x:c>
    </x:row>
    <x:row r="30" ht="27" customHeight="1">
      <x:c r="A30" s="6" t="str">
        <x:v>DI_SPARE_05</x:v>
      </x:c>
      <x:c r="B30" s="6" t="str">
        <x:v>DI_SPARE_05</x:v>
      </x:c>
      <x:c r="C30" s="6" t="str">
        <x:v>Read</x:v>
      </x:c>
      <x:c r="D30" s="6" t="str">
        <x:v>Diagnostics</x:v>
      </x:c>
      <x:c r="E30" s="6" t="str">
        <x:v>Operator</x:v>
      </x:c>
      <x:c r="F30" s="6" t="str">
        <x:v>Interlock/permissive/state reason from HMI interface DB</x:v>
      </x:c>
    </x:row>
    <x:row r="31" ht="27" customHeight="1">
      <x:c r="A31" s="6" t="str">
        <x:v>DI_SPARE_06</x:v>
      </x:c>
      <x:c r="B31" s="6" t="str">
        <x:v>DI_SPARE_06</x:v>
      </x:c>
      <x:c r="C31" s="6" t="str">
        <x:v>Read</x:v>
      </x:c>
      <x:c r="D31" s="6" t="str">
        <x:v>Diagnostics</x:v>
      </x:c>
      <x:c r="E31" s="6" t="str">
        <x:v>Operator</x:v>
      </x:c>
      <x:c r="F31" s="6" t="str">
        <x:v>Interlock/permissive/state reason from HMI interface DB</x:v>
      </x:c>
    </x:row>
    <x:row r="32" ht="27" customHeight="1">
      <x:c r="A32" s="6" t="str">
        <x:v>DI_SPARE_07</x:v>
      </x:c>
      <x:c r="B32" s="6" t="str">
        <x:v>DI_SPARE_07</x:v>
      </x:c>
      <x:c r="C32" s="6" t="str">
        <x:v>Read</x:v>
      </x:c>
      <x:c r="D32" s="6" t="str">
        <x:v>Diagnostics</x:v>
      </x:c>
      <x:c r="E32" s="6" t="str">
        <x:v>Operator</x:v>
      </x:c>
      <x:c r="F32" s="6" t="str">
        <x:v>Interlock/permissive/state reason from HMI interface DB</x:v>
      </x:c>
    </x:row>
    <x:row r="33" ht="27" customHeight="1">
      <x:c r="A33" s="6" t="str">
        <x:v>DI_SPARE_08</x:v>
      </x:c>
      <x:c r="B33" s="6" t="str">
        <x:v>DI_SPARE_08</x:v>
      </x:c>
      <x:c r="C33" s="6" t="str">
        <x:v>Read</x:v>
      </x:c>
      <x:c r="D33" s="6" t="str">
        <x:v>Diagnostics</x:v>
      </x:c>
      <x:c r="E33" s="6" t="str">
        <x:v>Operator</x:v>
      </x:c>
      <x:c r="F33" s="6" t="str">
        <x:v>Interlock/permissive/state reason from HMI interface DB</x:v>
      </x:c>
    </x:row>
    <x:row r="34" ht="27" customHeight="1">
      <x:c r="A34" s="6" t="str">
        <x:v>CONVEYOR_RUN_CMD</x:v>
      </x:c>
      <x:c r="B34" s="6" t="str">
        <x:v>CONVEYOR_RUN_CMD</x:v>
      </x:c>
      <x:c r="C34" s="6" t="str">
        <x:v>Read/command handshake</x:v>
      </x:c>
      <x:c r="D34" s="6" t="str">
        <x:v>Manual/Overview</x:v>
      </x:c>
      <x:c r="E34" s="6" t="str">
        <x:v>Maintenance for manual commands</x:v>
      </x:c>
      <x:c r="F34" s="6" t="str">
        <x:v>Interlock/permissive/state reason from HMI interface DB</x:v>
      </x:c>
    </x:row>
    <x:row r="35" ht="27" customHeight="1">
      <x:c r="A35" s="6" t="str">
        <x:v>PUMP_RUN_CMD</x:v>
      </x:c>
      <x:c r="B35" s="6" t="str">
        <x:v>PUMP_RUN_CMD</x:v>
      </x:c>
      <x:c r="C35" s="6" t="str">
        <x:v>Read/command handshake</x:v>
      </x:c>
      <x:c r="D35" s="6" t="str">
        <x:v>Manual/Overview</x:v>
      </x:c>
      <x:c r="E35" s="6" t="str">
        <x:v>Maintenance for manual commands</x:v>
      </x:c>
      <x:c r="F35" s="6" t="str">
        <x:v>Interlock/permissive/state reason from HMI interface DB</x:v>
      </x:c>
    </x:row>
    <x:row r="36" ht="27" customHeight="1">
      <x:c r="A36" s="6" t="str">
        <x:v>FILL_VALVE_1_OPEN_CMD</x:v>
      </x:c>
      <x:c r="B36" s="6" t="str">
        <x:v>FILL_VALVE_1_OPEN_CMD</x:v>
      </x:c>
      <x:c r="C36" s="6" t="str">
        <x:v>Read/command handshake</x:v>
      </x:c>
      <x:c r="D36" s="6" t="str">
        <x:v>Manual/Overview</x:v>
      </x:c>
      <x:c r="E36" s="6" t="str">
        <x:v>Maintenance for manual commands</x:v>
      </x:c>
      <x:c r="F36" s="6" t="str">
        <x:v>Interlock/permissive/state reason from HMI interface DB</x:v>
      </x:c>
    </x:row>
    <x:row r="37" ht="27" customHeight="1">
      <x:c r="A37" s="6" t="str">
        <x:v>FILL_VALVE_2_OPEN_CMD</x:v>
      </x:c>
      <x:c r="B37" s="6" t="str">
        <x:v>FILL_VALVE_2_OPEN_CMD</x:v>
      </x:c>
      <x:c r="C37" s="6" t="str">
        <x:v>Read/command handshake</x:v>
      </x:c>
      <x:c r="D37" s="6" t="str">
        <x:v>Manual/Overview</x:v>
      </x:c>
      <x:c r="E37" s="6" t="str">
        <x:v>Maintenance for manual commands</x:v>
      </x:c>
      <x:c r="F37" s="6" t="str">
        <x:v>Interlock/permissive/state reason from HMI interface DB</x:v>
      </x:c>
    </x:row>
    <x:row r="38" ht="27" customHeight="1">
      <x:c r="A38" s="6" t="str">
        <x:v>GATE_OPEN_CMD</x:v>
      </x:c>
      <x:c r="B38" s="6" t="str">
        <x:v>GATE_OPEN_CMD</x:v>
      </x:c>
      <x:c r="C38" s="6" t="str">
        <x:v>Read/command handshake</x:v>
      </x:c>
      <x:c r="D38" s="6" t="str">
        <x:v>Manual/Overview</x:v>
      </x:c>
      <x:c r="E38" s="6" t="str">
        <x:v>Maintenance for manual commands</x:v>
      </x:c>
      <x:c r="F38" s="6" t="str">
        <x:v>Interlock/permissive/state reason from HMI interface DB</x:v>
      </x:c>
    </x:row>
    <x:row r="39" ht="27" customHeight="1">
      <x:c r="A39" s="6" t="str">
        <x:v>GATE_CLOSE_CMD</x:v>
      </x:c>
      <x:c r="B39" s="6" t="str">
        <x:v>GATE_CLOSE_CMD</x:v>
      </x:c>
      <x:c r="C39" s="6" t="str">
        <x:v>Read/command handshake</x:v>
      </x:c>
      <x:c r="D39" s="6" t="str">
        <x:v>Manual/Overview</x:v>
      </x:c>
      <x:c r="E39" s="6" t="str">
        <x:v>Maintenance for manual commands</x:v>
      </x:c>
      <x:c r="F39" s="6" t="str">
        <x:v>Interlock/permissive/state reason from HMI interface DB</x:v>
      </x:c>
    </x:row>
    <x:row r="40" ht="27" customHeight="1">
      <x:c r="A40" s="6" t="str">
        <x:v>CLAMP_ENGAGE_CMD</x:v>
      </x:c>
      <x:c r="B40" s="6" t="str">
        <x:v>CLAMP_ENGAGE_CMD</x:v>
      </x:c>
      <x:c r="C40" s="6" t="str">
        <x:v>Read/command handshake</x:v>
      </x:c>
      <x:c r="D40" s="6" t="str">
        <x:v>Manual/Overview</x:v>
      </x:c>
      <x:c r="E40" s="6" t="str">
        <x:v>Maintenance for manual commands</x:v>
      </x:c>
      <x:c r="F40" s="6" t="str">
        <x:v>Interlock/permissive/state reason from HMI interface DB</x:v>
      </x:c>
    </x:row>
    <x:row r="41" ht="27" customHeight="1">
      <x:c r="A41" s="6" t="str">
        <x:v>CLAMP_RELEASE_CMD</x:v>
      </x:c>
      <x:c r="B41" s="6" t="str">
        <x:v>CLAMP_RELEASE_CMD</x:v>
      </x:c>
      <x:c r="C41" s="6" t="str">
        <x:v>Read/command handshake</x:v>
      </x:c>
      <x:c r="D41" s="6" t="str">
        <x:v>Manual/Overview</x:v>
      </x:c>
      <x:c r="E41" s="6" t="str">
        <x:v>Maintenance for manual commands</x:v>
      </x:c>
      <x:c r="F41" s="6" t="str">
        <x:v>Interlock/permissive/state reason from HMI interface DB</x:v>
      </x:c>
    </x:row>
    <x:row r="42" ht="27" customHeight="1">
      <x:c r="A42" s="6" t="str">
        <x:v>CAPPER_REQUEST</x:v>
      </x:c>
      <x:c r="B42" s="6" t="str">
        <x:v>CAPPER_REQUEST</x:v>
      </x:c>
      <x:c r="C42" s="6" t="str">
        <x:v>Read/command handshake</x:v>
      </x:c>
      <x:c r="D42" s="6" t="str">
        <x:v>Manual/Overview</x:v>
      </x:c>
      <x:c r="E42" s="6" t="str">
        <x:v>Maintenance for manual commands</x:v>
      </x:c>
      <x:c r="F42" s="6" t="str">
        <x:v>Interlock/permissive/state reason from HMI interface DB</x:v>
      </x:c>
    </x:row>
    <x:row r="43" ht="27" customHeight="1">
      <x:c r="A43" s="6" t="str">
        <x:v>STACK_GREEN</x:v>
      </x:c>
      <x:c r="B43" s="6" t="str">
        <x:v>STACK_GREEN</x:v>
      </x:c>
      <x:c r="C43" s="6" t="str">
        <x:v>Read/command handshake</x:v>
      </x:c>
      <x:c r="D43" s="6" t="str">
        <x:v>Manual/Overview</x:v>
      </x:c>
      <x:c r="E43" s="6" t="str">
        <x:v>Maintenance for manual commands</x:v>
      </x:c>
      <x:c r="F43" s="6" t="str">
        <x:v>Interlock/permissive/state reason from HMI interface DB</x:v>
      </x:c>
    </x:row>
    <x:row r="44" ht="27" customHeight="1">
      <x:c r="A44" s="6" t="str">
        <x:v>STACK_AMBER</x:v>
      </x:c>
      <x:c r="B44" s="6" t="str">
        <x:v>STACK_AMBER</x:v>
      </x:c>
      <x:c r="C44" s="6" t="str">
        <x:v>Read/command handshake</x:v>
      </x:c>
      <x:c r="D44" s="6" t="str">
        <x:v>Manual/Overview</x:v>
      </x:c>
      <x:c r="E44" s="6" t="str">
        <x:v>Maintenance for manual commands</x:v>
      </x:c>
      <x:c r="F44" s="6" t="str">
        <x:v>Interlock/permissive/state reason from HMI interface DB</x:v>
      </x:c>
    </x:row>
    <x:row r="45" ht="27" customHeight="1">
      <x:c r="A45" s="6" t="str">
        <x:v>STACK_RED</x:v>
      </x:c>
      <x:c r="B45" s="6" t="str">
        <x:v>STACK_RED</x:v>
      </x:c>
      <x:c r="C45" s="6" t="str">
        <x:v>Read/command handshake</x:v>
      </x:c>
      <x:c r="D45" s="6" t="str">
        <x:v>Manual/Overview</x:v>
      </x:c>
      <x:c r="E45" s="6" t="str">
        <x:v>Maintenance for manual commands</x:v>
      </x:c>
      <x:c r="F45" s="6" t="str">
        <x:v>Interlock/permissive/state reason from HMI interface DB</x:v>
      </x:c>
    </x:row>
    <x:row r="46" ht="27" customHeight="1">
      <x:c r="A46" s="6" t="str">
        <x:v>AUDIBLE_ALARM</x:v>
      </x:c>
      <x:c r="B46" s="6" t="str">
        <x:v>AUDIBLE_ALARM</x:v>
      </x:c>
      <x:c r="C46" s="6" t="str">
        <x:v>Read/command handshake</x:v>
      </x:c>
      <x:c r="D46" s="6" t="str">
        <x:v>Manual/Overview</x:v>
      </x:c>
      <x:c r="E46" s="6" t="str">
        <x:v>Maintenance for manual commands</x:v>
      </x:c>
      <x:c r="F46" s="6" t="str">
        <x:v>Interlock/permissive/state reason from HMI interface DB</x:v>
      </x:c>
    </x:row>
    <x:row r="47" ht="27" customHeight="1">
      <x:c r="A47" s="6" t="str">
        <x:v>CAMERA_LIGHT_ENABLE</x:v>
      </x:c>
      <x:c r="B47" s="6" t="str">
        <x:v>CAMERA_LIGHT_ENABLE</x:v>
      </x:c>
      <x:c r="C47" s="6" t="str">
        <x:v>Read/command handshake</x:v>
      </x:c>
      <x:c r="D47" s="6" t="str">
        <x:v>Manual/Overview</x:v>
      </x:c>
      <x:c r="E47" s="6" t="str">
        <x:v>Maintenance for manual commands</x:v>
      </x:c>
      <x:c r="F47" s="6" t="str">
        <x:v>Interlock/permissive/state reason from HMI interface DB</x:v>
      </x:c>
    </x:row>
    <x:row r="48" ht="27" customHeight="1">
      <x:c r="A48" s="6" t="str">
        <x:v>DO_SPARE_01</x:v>
      </x:c>
      <x:c r="B48" s="6" t="str">
        <x:v>DO_SPARE_01</x:v>
      </x:c>
      <x:c r="C48" s="6" t="str">
        <x:v>Read/command handshake</x:v>
      </x:c>
      <x:c r="D48" s="6" t="str">
        <x:v>Manual/Overview</x:v>
      </x:c>
      <x:c r="E48" s="6" t="str">
        <x:v>Maintenance for manual commands</x:v>
      </x:c>
      <x:c r="F48" s="6" t="str">
        <x:v>Interlock/permissive/state reason from HMI interface DB</x:v>
      </x:c>
    </x:row>
    <x:row r="49" ht="27" customHeight="1">
      <x:c r="A49" s="6" t="str">
        <x:v>DO_SPARE_02</x:v>
      </x:c>
      <x:c r="B49" s="6" t="str">
        <x:v>DO_SPARE_02</x:v>
      </x:c>
      <x:c r="C49" s="6" t="str">
        <x:v>Read/command handshake</x:v>
      </x:c>
      <x:c r="D49" s="6" t="str">
        <x:v>Manual/Overview</x:v>
      </x:c>
      <x:c r="E49" s="6" t="str">
        <x:v>Maintenance for manual commands</x:v>
      </x:c>
      <x:c r="F49" s="6" t="str">
        <x:v>Interlock/permissive/state reason from HMI interface DB</x:v>
      </x:c>
    </x:row>
    <x:row r="50" ht="27" customHeight="1">
      <x:c r="A50" s="6" t="str">
        <x:v>DO_SPARE_03</x:v>
      </x:c>
      <x:c r="B50" s="6" t="str">
        <x:v>DO_SPARE_03</x:v>
      </x:c>
      <x:c r="C50" s="6" t="str">
        <x:v>Read/command handshake</x:v>
      </x:c>
      <x:c r="D50" s="6" t="str">
        <x:v>Manual/Overview</x:v>
      </x:c>
      <x:c r="E50" s="6" t="str">
        <x:v>Maintenance for manual commands</x:v>
      </x:c>
      <x:c r="F50" s="6" t="str">
        <x:v>Interlock/permissive/state reason from HMI interface DB</x:v>
      </x:c>
    </x:row>
    <x:row r="51" ht="27" customHeight="1">
      <x:c r="A51" s="6" t="str">
        <x:v>DO_SPARE_04</x:v>
      </x:c>
      <x:c r="B51" s="6" t="str">
        <x:v>DO_SPARE_04</x:v>
      </x:c>
      <x:c r="C51" s="6" t="str">
        <x:v>Read/command handshake</x:v>
      </x:c>
      <x:c r="D51" s="6" t="str">
        <x:v>Manual/Overview</x:v>
      </x:c>
      <x:c r="E51" s="6" t="str">
        <x:v>Maintenance for manual commands</x:v>
      </x:c>
      <x:c r="F51" s="6" t="str">
        <x:v>Interlock/permissive/state reason from HMI interface DB</x:v>
      </x:c>
    </x:row>
    <x:row r="52" ht="27" customHeight="1">
      <x:c r="A52" s="6" t="str">
        <x:v>DO_SPARE_05</x:v>
      </x:c>
      <x:c r="B52" s="6" t="str">
        <x:v>DO_SPARE_05</x:v>
      </x:c>
      <x:c r="C52" s="6" t="str">
        <x:v>Read/command handshake</x:v>
      </x:c>
      <x:c r="D52" s="6" t="str">
        <x:v>Manual/Overview</x:v>
      </x:c>
      <x:c r="E52" s="6" t="str">
        <x:v>Maintenance for manual commands</x:v>
      </x:c>
      <x:c r="F52" s="6" t="str">
        <x:v>Interlock/permissive/state reason from HMI interface DB</x:v>
      </x:c>
    </x:row>
    <x:row r="53" ht="27" customHeight="1">
      <x:c r="A53" s="6" t="str">
        <x:v>DO_SPARE_06</x:v>
      </x:c>
      <x:c r="B53" s="6" t="str">
        <x:v>DO_SPARE_06</x:v>
      </x:c>
      <x:c r="C53" s="6" t="str">
        <x:v>Read/command handshake</x:v>
      </x:c>
      <x:c r="D53" s="6" t="str">
        <x:v>Manual/Overview</x:v>
      </x:c>
      <x:c r="E53" s="6" t="str">
        <x:v>Maintenance for manual commands</x:v>
      </x:c>
      <x:c r="F53" s="6" t="str">
        <x:v>Interlock/permissive/state reason from HMI interface DB</x:v>
      </x:c>
    </x:row>
    <x:row r="54" ht="27" customHeight="1">
      <x:c r="A54" s="6" t="str">
        <x:v>DO_SPARE_07</x:v>
      </x:c>
      <x:c r="B54" s="6" t="str">
        <x:v>DO_SPARE_07</x:v>
      </x:c>
      <x:c r="C54" s="6" t="str">
        <x:v>Read/command handshake</x:v>
      </x:c>
      <x:c r="D54" s="6" t="str">
        <x:v>Manual/Overview</x:v>
      </x:c>
      <x:c r="E54" s="6" t="str">
        <x:v>Maintenance for manual commands</x:v>
      </x:c>
      <x:c r="F54" s="6" t="str">
        <x:v>Interlock/permissive/state reason from HMI interface DB</x:v>
      </x:c>
    </x:row>
    <x:row r="55" ht="27" customHeight="1">
      <x:c r="A55" s="6" t="str">
        <x:v>DO_SPARE_08</x:v>
      </x:c>
      <x:c r="B55" s="6" t="str">
        <x:v>DO_SPARE_08</x:v>
      </x:c>
      <x:c r="C55" s="6" t="str">
        <x:v>Read/command handshake</x:v>
      </x:c>
      <x:c r="D55" s="6" t="str">
        <x:v>Manual/Overview</x:v>
      </x:c>
      <x:c r="E55" s="6" t="str">
        <x:v>Maintenance for manual commands</x:v>
      </x:c>
      <x:c r="F55" s="6" t="str">
        <x:v>Interlock/permissive/state reason from HMI interface DB</x:v>
      </x:c>
    </x:row>
    <x:row r="56" ht="27" customHeight="1">
      <x:c r="A56" s="6" t="str">
        <x:v>DO_SPARE_09</x:v>
      </x:c>
      <x:c r="B56" s="6" t="str">
        <x:v>DO_SPARE_09</x:v>
      </x:c>
      <x:c r="C56" s="6" t="str">
        <x:v>Read/command handshake</x:v>
      </x:c>
      <x:c r="D56" s="6" t="str">
        <x:v>Manual/Overview</x:v>
      </x:c>
      <x:c r="E56" s="6" t="str">
        <x:v>Maintenance for manual commands</x:v>
      </x:c>
      <x:c r="F56" s="6" t="str">
        <x:v>Interlock/permissive/state reason from HMI interface DB</x:v>
      </x:c>
    </x:row>
    <x:row r="57" ht="27" customHeight="1">
      <x:c r="A57" s="6" t="str">
        <x:v>DO_SPARE_10</x:v>
      </x:c>
      <x:c r="B57" s="6" t="str">
        <x:v>DO_SPARE_10</x:v>
      </x:c>
      <x:c r="C57" s="6" t="str">
        <x:v>Read/command handshake</x:v>
      </x:c>
      <x:c r="D57" s="6" t="str">
        <x:v>Manual/Overview</x:v>
      </x:c>
      <x:c r="E57" s="6" t="str">
        <x:v>Maintenance for manual commands</x:v>
      </x:c>
      <x:c r="F57" s="6" t="str">
        <x:v>Interlock/permissive/state reason from HMI interface DB</x:v>
      </x:c>
    </x:row>
    <x:row r="58" ht="27" customHeight="1">
      <x:c r="A58" s="6" t="str">
        <x:v>DO_SPARE_11</x:v>
      </x:c>
      <x:c r="B58" s="6" t="str">
        <x:v>DO_SPARE_11</x:v>
      </x:c>
      <x:c r="C58" s="6" t="str">
        <x:v>Read/command handshake</x:v>
      </x:c>
      <x:c r="D58" s="6" t="str">
        <x:v>Manual/Overview</x:v>
      </x:c>
      <x:c r="E58" s="6" t="str">
        <x:v>Maintenance for manual commands</x:v>
      </x:c>
      <x:c r="F58" s="6" t="str">
        <x:v>Interlock/permissive/state reason from HMI interface DB</x:v>
      </x:c>
    </x:row>
    <x:row r="59" ht="27" customHeight="1">
      <x:c r="A59" s="6" t="str">
        <x:v>DO_SPARE_12</x:v>
      </x:c>
      <x:c r="B59" s="6" t="str">
        <x:v>DO_SPARE_12</x:v>
      </x:c>
      <x:c r="C59" s="6" t="str">
        <x:v>Read/command handshake</x:v>
      </x:c>
      <x:c r="D59" s="6" t="str">
        <x:v>Manual/Overview</x:v>
      </x:c>
      <x:c r="E59" s="6" t="str">
        <x:v>Maintenance for manual commands</x:v>
      </x:c>
      <x:c r="F59" s="6" t="str">
        <x:v>Interlock/permissive/state reason from HMI interface DB</x:v>
      </x:c>
    </x:row>
    <x:row r="60" ht="27" customHeight="1">
      <x:c r="A60" s="6" t="str">
        <x:v>DO_SPARE_13</x:v>
      </x:c>
      <x:c r="B60" s="6" t="str">
        <x:v>DO_SPARE_13</x:v>
      </x:c>
      <x:c r="C60" s="6" t="str">
        <x:v>Read/command handshake</x:v>
      </x:c>
      <x:c r="D60" s="6" t="str">
        <x:v>Manual/Overview</x:v>
      </x:c>
      <x:c r="E60" s="6" t="str">
        <x:v>Maintenance for manual commands</x:v>
      </x:c>
      <x:c r="F60" s="6" t="str">
        <x:v>Interlock/permissive/state reason from HMI interface DB</x:v>
      </x:c>
    </x:row>
    <x:row r="61" ht="27" customHeight="1">
      <x:c r="A61" s="6" t="str">
        <x:v>DO_SPARE_14</x:v>
      </x:c>
      <x:c r="B61" s="6" t="str">
        <x:v>DO_SPARE_14</x:v>
      </x:c>
      <x:c r="C61" s="6" t="str">
        <x:v>Read/command handshake</x:v>
      </x:c>
      <x:c r="D61" s="6" t="str">
        <x:v>Manual/Overview</x:v>
      </x:c>
      <x:c r="E61" s="6" t="str">
        <x:v>Maintenance for manual commands</x:v>
      </x:c>
      <x:c r="F61" s="6" t="str">
        <x:v>Interlock/permissive/state reason from HMI interface DB</x:v>
      </x:c>
    </x:row>
    <x:row r="62" ht="27" customHeight="1">
      <x:c r="A62" s="6" t="str">
        <x:v>DO_SPARE_15</x:v>
      </x:c>
      <x:c r="B62" s="6" t="str">
        <x:v>DO_SPARE_15</x:v>
      </x:c>
      <x:c r="C62" s="6" t="str">
        <x:v>Read/command handshake</x:v>
      </x:c>
      <x:c r="D62" s="6" t="str">
        <x:v>Manual/Overview</x:v>
      </x:c>
      <x:c r="E62" s="6" t="str">
        <x:v>Maintenance for manual commands</x:v>
      </x:c>
      <x:c r="F62" s="6" t="str">
        <x:v>Interlock/permissive/state reason from HMI interface DB</x:v>
      </x:c>
    </x:row>
    <x:row r="63" ht="27" customHeight="1">
      <x:c r="A63" s="6" t="str">
        <x:v>DO_SPARE_16</x:v>
      </x:c>
      <x:c r="B63" s="6" t="str">
        <x:v>DO_SPARE_16</x:v>
      </x:c>
      <x:c r="C63" s="6" t="str">
        <x:v>Read/command handshake</x:v>
      </x:c>
      <x:c r="D63" s="6" t="str">
        <x:v>Manual/Overview</x:v>
      </x:c>
      <x:c r="E63" s="6" t="str">
        <x:v>Maintenance for manual commands</x:v>
      </x:c>
      <x:c r="F63" s="6" t="str">
        <x:v>Interlock/permissive/state reason from HMI interface DB</x:v>
      </x:c>
    </x:row>
    <x:row r="64" ht="27" customHeight="1">
      <x:c r="A64" s="6" t="str">
        <x:v>DO_SPARE_17</x:v>
      </x:c>
      <x:c r="B64" s="6" t="str">
        <x:v>DO_SPARE_17</x:v>
      </x:c>
      <x:c r="C64" s="6" t="str">
        <x:v>Read/command handshake</x:v>
      </x:c>
      <x:c r="D64" s="6" t="str">
        <x:v>Manual/Overview</x:v>
      </x:c>
      <x:c r="E64" s="6" t="str">
        <x:v>Maintenance for manual commands</x:v>
      </x:c>
      <x:c r="F64" s="6" t="str">
        <x:v>Interlock/permissive/state reason from HMI interface DB</x:v>
      </x:c>
    </x:row>
    <x:row r="65" ht="27" customHeight="1">
      <x:c r="A65" s="6" t="str">
        <x:v>DO_SPARE_18</x:v>
      </x:c>
      <x:c r="B65" s="6" t="str">
        <x:v>DO_SPARE_18</x:v>
      </x:c>
      <x:c r="C65" s="6" t="str">
        <x:v>Read/command handshake</x:v>
      </x:c>
      <x:c r="D65" s="6" t="str">
        <x:v>Manual/Overview</x:v>
      </x:c>
      <x:c r="E65" s="6" t="str">
        <x:v>Maintenance for manual commands</x:v>
      </x:c>
      <x:c r="F65" s="6" t="str">
        <x:v>Interlock/permissive/state reason from HMI interface DB</x:v>
      </x:c>
    </x:row>
    <x:row r="66" ht="27" customHeight="1">
      <x:c r="A66" s="6" t="str">
        <x:v>FLOW_1_MA_RAW</x:v>
      </x:c>
      <x:c r="B66" s="6" t="str">
        <x:v>FLOW_1_MA_RAW</x:v>
      </x:c>
      <x:c r="C66" s="6" t="str">
        <x:v>Read</x:v>
      </x:c>
      <x:c r="D66" s="6" t="str">
        <x:v>Diagnostics</x:v>
      </x:c>
      <x:c r="E66" s="6" t="str">
        <x:v>Operator</x:v>
      </x:c>
      <x:c r="F66" s="6" t="str">
        <x:v>Interlock/permissive/state reason from HMI interface DB</x:v>
      </x:c>
    </x:row>
    <x:row r="67" ht="27" customHeight="1">
      <x:c r="A67" s="6" t="str">
        <x:v>FLOW_2_MA_RAW</x:v>
      </x:c>
      <x:c r="B67" s="6" t="str">
        <x:v>FLOW_2_MA_RAW</x:v>
      </x:c>
      <x:c r="C67" s="6" t="str">
        <x:v>Read</x:v>
      </x:c>
      <x:c r="D67" s="6" t="str">
        <x:v>Diagnostics</x:v>
      </x:c>
      <x:c r="E67" s="6" t="str">
        <x:v>Operator</x:v>
      </x:c>
      <x:c r="F67" s="6" t="str">
        <x:v>Interlock/permissive/state reason from HMI interface DB</x:v>
      </x:c>
    </x:row>
    <x:row r="68" ht="27" customHeight="1">
      <x:c r="A68" s="6" t="str">
        <x:v>AI_SPARE_01</x:v>
      </x:c>
      <x:c r="B68" s="6" t="str">
        <x:v>AI_SPARE_01</x:v>
      </x:c>
      <x:c r="C68" s="6" t="str">
        <x:v>Read</x:v>
      </x:c>
      <x:c r="D68" s="6" t="str">
        <x:v>Diagnostics</x:v>
      </x:c>
      <x:c r="E68" s="6" t="str">
        <x:v>Operator</x:v>
      </x:c>
      <x:c r="F68" s="6" t="str">
        <x:v>Interlock/permissive/state reason from HMI interface DB</x:v>
      </x:c>
    </x:row>
    <x:row r="69" ht="27" customHeight="1">
      <x:c r="A69" s="6" t="str">
        <x:v>AI_SPARE_02</x:v>
      </x:c>
      <x:c r="B69" s="6" t="str">
        <x:v>AI_SPARE_02</x:v>
      </x:c>
      <x:c r="C69" s="6" t="str">
        <x:v>Read</x:v>
      </x:c>
      <x:c r="D69" s="6" t="str">
        <x:v>Diagnostics</x:v>
      </x:c>
      <x:c r="E69" s="6" t="str">
        <x:v>Operator</x:v>
      </x:c>
      <x:c r="F69" s="6" t="str">
        <x:v>Interlock/permissive/state reason from HMI interface DB</x:v>
      </x:c>
    </x:row>
    <x:row r="70" ht="27" customHeight="1">
      <x:c r="A70" s="6" t="str">
        <x:v>AI_SPARE_03</x:v>
      </x:c>
      <x:c r="B70" s="6" t="str">
        <x:v>AI_SPARE_03</x:v>
      </x:c>
      <x:c r="C70" s="6" t="str">
        <x:v>Read</x:v>
      </x:c>
      <x:c r="D70" s="6" t="str">
        <x:v>Diagnostics</x:v>
      </x:c>
      <x:c r="E70" s="6" t="str">
        <x:v>Operator</x:v>
      </x:c>
      <x:c r="F70" s="6" t="str">
        <x:v>Interlock/permissive/state reason from HMI interface DB</x:v>
      </x:c>
    </x:row>
    <x:row r="71" ht="27" customHeight="1">
      <x:c r="A71" s="6" t="str">
        <x:v>AI_SPARE_04</x:v>
      </x:c>
      <x:c r="B71" s="6" t="str">
        <x:v>AI_SPARE_04</x:v>
      </x:c>
      <x:c r="C71" s="6" t="str">
        <x:v>Read</x:v>
      </x:c>
      <x:c r="D71" s="6" t="str">
        <x:v>Diagnostics</x:v>
      </x:c>
      <x:c r="E71" s="6" t="str">
        <x:v>Operator</x:v>
      </x:c>
      <x:c r="F71" s="6" t="str">
        <x:v>Interlock/permissive/state reason from HMI interface DB</x:v>
      </x:c>
    </x:row>
    <x:row r="72" ht="27" customHeight="1">
      <x:c r="A72" s="6" t="str">
        <x:v>AI_SPARE_05</x:v>
      </x:c>
      <x:c r="B72" s="6" t="str">
        <x:v>AI_SPARE_05</x:v>
      </x:c>
      <x:c r="C72" s="6" t="str">
        <x:v>Read</x:v>
      </x:c>
      <x:c r="D72" s="6" t="str">
        <x:v>Diagnostics</x:v>
      </x:c>
      <x:c r="E72" s="6" t="str">
        <x:v>Operator</x:v>
      </x:c>
      <x:c r="F72" s="6" t="str">
        <x:v>Interlock/permissive/state reason from HMI interface DB</x:v>
      </x:c>
    </x:row>
    <x:row r="73" ht="27" customHeight="1">
      <x:c r="A73" s="6" t="str">
        <x:v>AI_SPARE_06</x:v>
      </x:c>
      <x:c r="B73" s="6" t="str">
        <x:v>AI_SPARE_06</x:v>
      </x:c>
      <x:c r="C73" s="6" t="str">
        <x:v>Read</x:v>
      </x:c>
      <x:c r="D73" s="6" t="str">
        <x:v>Diagnostics</x:v>
      </x:c>
      <x:c r="E73" s="6" t="str">
        <x:v>Operator</x:v>
      </x:c>
      <x:c r="F73" s="6" t="str">
        <x:v>Interlock/permissive/state reason from HMI interface DB</x:v>
      </x:c>
    </x:row>
    <x:row r="74" ht="27" customHeight="1">
      <x:c r="A74" s="6" t="str">
        <x:v>FLOW_1_PULSE</x:v>
      </x:c>
      <x:c r="B74" s="6" t="str">
        <x:v>FLOW_1_PULSE</x:v>
      </x:c>
      <x:c r="C74" s="6" t="str">
        <x:v>Read</x:v>
      </x:c>
      <x:c r="D74" s="6" t="str">
        <x:v>Diagnostics</x:v>
      </x:c>
      <x:c r="E74" s="6" t="str">
        <x:v>Operator</x:v>
      </x:c>
      <x:c r="F74" s="6" t="str">
        <x:v>Interlock/permissive/state reason from HMI interface DB</x:v>
      </x:c>
    </x:row>
    <x:row r="75" ht="27" customHeight="1">
      <x:c r="A75" s="6" t="str">
        <x:v>FLOW_2_PULSE</x:v>
      </x:c>
      <x:c r="B75" s="6" t="str">
        <x:v>FLOW_2_PULSE</x:v>
      </x:c>
      <x:c r="C75" s="6" t="str">
        <x:v>Read</x:v>
      </x:c>
      <x:c r="D75" s="6" t="str">
        <x:v>Diagnostics</x:v>
      </x:c>
      <x:c r="E75" s="6" t="str">
        <x:v>Operator</x:v>
      </x:c>
      <x:c r="F75" s="6" t="str">
        <x:v>Interlock/permissive/state reason from HMI interface DB</x:v>
      </x:c>
    </x:row>
  </x:sheetData>
  <x:pageMargins left="0.7" right="0.7" top="0.75" bottom="0.75" header="0.3" footer="0.3"/>
  <x:tableParts count="1">
    <x:tablePart xmlns:r="http://schemas.openxmlformats.org/officeDocument/2006/relationships" r:id="R6d83e9585f85471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27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Controlled stop; outputs de-energized; manual reset after external safety restored</x:v>
      </x:c>
      <x:c r="E2" s="6" t="str">
        <x:v>Yes</x:v>
      </x:c>
      <x:c r="F2" s="6" t="str">
        <x:v>Cause cleared and explicit reset; never automatic restart</x:v>
      </x:c>
    </x:row>
    <x:row r="3" ht="27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fill; close valves; stop pump; hold bottles</x:v>
      </x:c>
      <x:c r="E3" s="6" t="str">
        <x:v>Yes</x:v>
      </x:c>
      <x:c r="F3" s="6" t="str">
        <x:v>Cause cleared and explicit reset; never automatic restart</x:v>
      </x:c>
    </x:row>
    <x:row r="4" ht="27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 and hold</x:v>
      </x:c>
      <x:c r="E4" s="6" t="str">
        <x:v>Yes</x:v>
      </x:c>
      <x:c r="F4" s="6" t="str">
        <x:v>Cause cleared and explicit reset; never automatic restart</x:v>
      </x:c>
    </x:row>
    <x:row r="5" ht="27" customHeight="1">
      <x:c r="A5" s="6" t="str">
        <x:v>1101</x:v>
      </x:c>
      <x:c r="B5" s="6" t="str">
        <x:v>Conveyor VFD fault</x:v>
      </x:c>
      <x:c r="C5" s="6" t="str">
        <x:v>Fault</x:v>
      </x:c>
      <x:c r="D5" s="6" t="str">
        <x:v>Stop cycle and hold</x:v>
      </x:c>
      <x:c r="E5" s="6" t="str">
        <x:v>Yes</x:v>
      </x:c>
      <x:c r="F5" s="6" t="str">
        <x:v>Cause cleared and explicit reset; never automatic restart</x:v>
      </x:c>
    </x:row>
    <x:row r="6" ht="27" customHeight="1">
      <x:c r="A6" s="6" t="str">
        <x:v>1102</x:v>
      </x:c>
      <x:c r="B6" s="6" t="str">
        <x:v>Pump VFD fault</x:v>
      </x:c>
      <x:c r="C6" s="6" t="str">
        <x:v>Fault</x:v>
      </x:c>
      <x:c r="D6" s="6" t="str">
        <x:v>Close valves immediately; stop request; hold</x:v>
      </x:c>
      <x:c r="E6" s="6" t="str">
        <x:v>Yes</x:v>
      </x:c>
      <x:c r="F6" s="6" t="str">
        <x:v>Cause cleared and explicit reset; never automatic restart</x:v>
      </x:c>
    </x:row>
    <x:row r="7" ht="27" customHeight="1">
      <x:c r="A7" s="6" t="str">
        <x:v>1201</x:v>
      </x:c>
      <x:c r="B7" s="6" t="str">
        <x:v>Gate motion timeout or contradictory feedback</x:v>
      </x:c>
      <x:c r="C7" s="6" t="str">
        <x:v>Fault</x:v>
      </x:c>
      <x:c r="D7" s="6" t="str">
        <x:v>Stop conveyor; hold</x:v>
      </x:c>
      <x:c r="E7" s="6" t="str">
        <x:v>Yes</x:v>
      </x:c>
      <x:c r="F7" s="6" t="str">
        <x:v>Cause cleared and explicit reset; never automatic restart</x:v>
      </x:c>
    </x:row>
    <x:row r="8" ht="27" customHeight="1">
      <x:c r="A8" s="6" t="str">
        <x:v>1202</x:v>
      </x:c>
      <x:c r="B8" s="6" t="str">
        <x:v>Clamp motion timeout or contradictory feedback</x:v>
      </x:c>
      <x:c r="C8" s="6" t="str">
        <x:v>Fault</x:v>
      </x:c>
      <x:c r="D8" s="6" t="str">
        <x:v>Stop pump; close valves; hold</x:v>
      </x:c>
      <x:c r="E8" s="6" t="str">
        <x:v>Yes</x:v>
      </x:c>
      <x:c r="F8" s="6" t="str">
        <x:v>Cause cleared and explicit reset; never automatic restart</x:v>
      </x:c>
    </x:row>
    <x:row r="9" ht="27" customHeight="1">
      <x:c r="A9" s="6" t="str">
        <x:v>1301</x:v>
      </x:c>
      <x:c r="B9" s="6" t="str">
        <x:v>Fill channel 1 no flow</x:v>
      </x:c>
      <x:c r="C9" s="6" t="str">
        <x:v>Fault</x:v>
      </x:c>
      <x:c r="D9" s="6" t="str">
        <x:v>Close valve 1; stop pump when both closed; hold</x:v>
      </x:c>
      <x:c r="E9" s="6" t="str">
        <x:v>Yes</x:v>
      </x:c>
      <x:c r="F9" s="6" t="str">
        <x:v>Cause cleared and explicit reset; never automatic restart</x:v>
      </x:c>
    </x:row>
    <x:row r="10" ht="27" customHeight="1">
      <x:c r="A10" s="6" t="str">
        <x:v>1302</x:v>
      </x:c>
      <x:c r="B10" s="6" t="str">
        <x:v>Fill channel 2 no flow</x:v>
      </x:c>
      <x:c r="C10" s="6" t="str">
        <x:v>Fault</x:v>
      </x:c>
      <x:c r="D10" s="6" t="str">
        <x:v>Close valve 2; stop pump when both closed; hold</x:v>
      </x:c>
      <x:c r="E10" s="6" t="str">
        <x:v>Yes</x:v>
      </x:c>
      <x:c r="F10" s="6" t="str">
        <x:v>Cause cleared and explicit reset; never automatic restart</x:v>
      </x:c>
    </x:row>
    <x:row r="11" ht="27" customHeight="1">
      <x:c r="A11" s="6" t="str">
        <x:v>1303</x:v>
      </x:c>
      <x:c r="B11" s="6" t="str">
        <x:v>Flow pulse/analog disagreement</x:v>
      </x:c>
      <x:c r="C11" s="6" t="str">
        <x:v>Fault</x:v>
      </x:c>
      <x:c r="D11" s="6" t="str">
        <x:v>Close affected valve; quality hold</x:v>
      </x:c>
      <x:c r="E11" s="6" t="str">
        <x:v>Yes</x:v>
      </x:c>
      <x:c r="F11" s="6" t="str">
        <x:v>Cause cleared and explicit reset; never automatic restart</x:v>
      </x:c>
    </x:row>
    <x:row r="12" ht="27" customHeight="1">
      <x:c r="A12" s="6" t="str">
        <x:v>1304</x:v>
      </x:c>
      <x:c r="B12" s="6" t="str">
        <x:v>Underfill detected</x:v>
      </x:c>
      <x:c r="C12" s="6" t="str">
        <x:v>Fault</x:v>
      </x:c>
      <x:c r="D12" s="6" t="str">
        <x:v>Quality hold</x:v>
      </x:c>
      <x:c r="E12" s="6" t="str">
        <x:v>Yes</x:v>
      </x:c>
      <x:c r="F12" s="6" t="str">
        <x:v>Cause cleared and explicit reset; never automatic restart</x:v>
      </x:c>
    </x:row>
    <x:row r="13" ht="27" customHeight="1">
      <x:c r="A13" s="6" t="str">
        <x:v>1305</x:v>
      </x:c>
      <x:c r="B13" s="6" t="str">
        <x:v>Overfill detected</x:v>
      </x:c>
      <x:c r="C13" s="6" t="str">
        <x:v>Fault</x:v>
      </x:c>
      <x:c r="D13" s="6" t="str">
        <x:v>Close affected valve; quality hold</x:v>
      </x:c>
      <x:c r="E13" s="6" t="str">
        <x:v>Yes</x:v>
      </x:c>
      <x:c r="F13" s="6" t="str">
        <x:v>Cause cleared and explicit reset; never automatic restart</x:v>
      </x:c>
    </x:row>
    <x:row r="14" ht="27" customHeight="1">
      <x:c r="A14" s="6" t="str">
        <x:v>1306</x:v>
      </x:c>
      <x:c r="B14" s="6" t="str">
        <x:v>Valve fails to close</x:v>
      </x:c>
      <x:c r="C14" s="6" t="str">
        <x:v>Fault</x:v>
      </x:c>
      <x:c r="D14" s="6" t="str">
        <x:v>Stop pump; close both command paths; quality hold</x:v>
      </x:c>
      <x:c r="E14" s="6" t="str">
        <x:v>Yes</x:v>
      </x:c>
      <x:c r="F14" s="6" t="str">
        <x:v>Cause cleared and explicit reset; never automatic restart</x:v>
      </x:c>
    </x:row>
    <x:row r="15" ht="27" customHeight="1">
      <x:c r="A15" s="6" t="str">
        <x:v>1401</x:v>
      </x:c>
      <x:c r="B15" s="6" t="str">
        <x:v>Capping station unavailable or timeout</x:v>
      </x:c>
      <x:c r="C15" s="6" t="str">
        <x:v>Fault</x:v>
      </x:c>
      <x:c r="D15" s="6" t="str">
        <x:v>Keep pair controlled; operator disposition</x:v>
      </x:c>
      <x:c r="E15" s="6" t="str">
        <x:v>Yes</x:v>
      </x:c>
      <x:c r="F15" s="6" t="str">
        <x:v>Cause cleared and explicit reset; never automatic restart</x:v>
      </x:c>
    </x:row>
    <x:row r="16" ht="27" customHeight="1">
      <x:c r="A16" s="6" t="str">
        <x:v>1402</x:v>
      </x:c>
      <x:c r="B16" s="6" t="str">
        <x:v>Capping station fault</x:v>
      </x:c>
      <x:c r="C16" s="6" t="str">
        <x:v>Fault</x:v>
      </x:c>
      <x:c r="D16" s="6" t="str">
        <x:v>Keep pair controlled</x:v>
      </x:c>
      <x:c r="E16" s="6" t="str">
        <x:v>Yes</x:v>
      </x:c>
      <x:c r="F16" s="6" t="str">
        <x:v>Cause cleared and explicit reset; never automatic restart</x:v>
      </x:c>
    </x:row>
    <x:row r="17" ht="27" customHeight="1">
      <x:c r="A17" s="6" t="str">
        <x:v>1501</x:v>
      </x:c>
      <x:c r="B17" s="6" t="str">
        <x:v>Vision not ready</x:v>
      </x:c>
      <x:c r="C17" s="6" t="str">
        <x:v>Fault</x:v>
      </x:c>
      <x:c r="D17" s="6" t="str">
        <x:v>Do not transfer; quality hold</x:v>
      </x:c>
      <x:c r="E17" s="6" t="str">
        <x:v>Yes</x:v>
      </x:c>
      <x:c r="F17" s="6" t="str">
        <x:v>Cause cleared and explicit reset; never automatic restart</x:v>
      </x:c>
    </x:row>
    <x:row r="18" ht="27" customHeight="1">
      <x:c r="A18" s="6" t="str">
        <x:v>1502</x:v>
      </x:c>
      <x:c r="B18" s="6" t="str">
        <x:v>Vision result timeout</x:v>
      </x:c>
      <x:c r="C18" s="6" t="str">
        <x:v>Fault</x:v>
      </x:c>
      <x:c r="D18" s="6" t="str">
        <x:v>Do not transfer; quality hold</x:v>
      </x:c>
      <x:c r="E18" s="6" t="str">
        <x:v>Yes</x:v>
      </x:c>
      <x:c r="F18" s="6" t="str">
        <x:v>Cause cleared and explicit reset; never automatic restart</x:v>
      </x:c>
    </x:row>
    <x:row r="19" ht="27" customHeight="1">
      <x:c r="A19" s="6" t="str">
        <x:v>1503</x:v>
      </x:c>
      <x:c r="B19" s="6" t="str">
        <x:v>Vision result ID stale or contradictory</x:v>
      </x:c>
      <x:c r="C19" s="6" t="str">
        <x:v>Fault</x:v>
      </x:c>
      <x:c r="D19" s="6" t="str">
        <x:v>Discard result; quality hold</x:v>
      </x:c>
      <x:c r="E19" s="6" t="str">
        <x:v>Yes</x:v>
      </x:c>
      <x:c r="F19" s="6" t="str">
        <x:v>Cause cleared and explicit reset; never automatic restart</x:v>
      </x:c>
    </x:row>
    <x:row r="20" ht="27" customHeight="1">
      <x:c r="A20" s="6" t="str">
        <x:v>1504</x:v>
      </x:c>
      <x:c r="B20" s="6" t="str">
        <x:v>Vision low confidence</x:v>
      </x:c>
      <x:c r="C20" s="6" t="str">
        <x:v>Warning</x:v>
      </x:c>
      <x:c r="D20" s="6" t="str">
        <x:v>Quality hold; operator inspection required</x:v>
      </x:c>
      <x:c r="E20" s="6" t="str">
        <x:v>Yes</x:v>
      </x:c>
      <x:c r="F20" s="6" t="str">
        <x:v>Cause cleared and explicit reset; never automatic restart</x:v>
      </x:c>
    </x:row>
    <x:row r="21" ht="27" customHeight="1">
      <x:c r="A21" s="6" t="str">
        <x:v>1505</x:v>
      </x:c>
      <x:c r="B21" s="6" t="str">
        <x:v>Vision heartbeat lost</x:v>
      </x:c>
      <x:c r="C21" s="6" t="str">
        <x:v>Fault</x:v>
      </x:c>
      <x:c r="D21" s="6" t="str">
        <x:v>Quality hold</x:v>
      </x:c>
      <x:c r="E21" s="6" t="str">
        <x:v>Yes</x:v>
      </x:c>
      <x:c r="F21" s="6" t="str">
        <x:v>Cause cleared and explicit reset; never automatic restart</x:v>
      </x:c>
    </x:row>
    <x:row r="22" ht="27" customHeight="1">
      <x:c r="A22" s="6" t="str">
        <x:v>1506</x:v>
      </x:c>
      <x:c r="B22" s="6" t="str">
        <x:v>Vision reports one or both bottles failed</x:v>
      </x:c>
      <x:c r="C22" s="6" t="str">
        <x:v>Fault</x:v>
      </x:c>
      <x:c r="D22" s="6" t="str">
        <x:v>Quality hold</x:v>
      </x:c>
      <x:c r="E22" s="6" t="str">
        <x:v>Yes</x:v>
      </x:c>
      <x:c r="F22" s="6" t="str">
        <x:v>Cause cleared and explicit reset; never automatic restart</x:v>
      </x:c>
    </x:row>
    <x:row r="23" ht="27" customHeight="1">
      <x:c r="A23" s="6" t="str">
        <x:v>1601</x:v>
      </x:c>
      <x:c r="B23" s="6" t="str">
        <x:v>HMI communications lost</x:v>
      </x:c>
      <x:c r="C23" s="6" t="str">
        <x:v>Warning</x:v>
      </x:c>
      <x:c r="D23" s="6" t="str">
        <x:v>Continue only autonomous safe state; no new HMI command accepted</x:v>
      </x:c>
      <x:c r="E23" s="6" t="str">
        <x:v>Yes</x:v>
      </x:c>
      <x:c r="F23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e437c8e2064d477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</x:v>
      </x:c>
      <x:c r="B2" s="6" t="str">
        <x:v>Control source</x:v>
      </x:c>
      <x:c r="C2" s="6" t="str">
        <x:v>PROFINET telegram</x:v>
      </x:c>
      <x:c r="D2" s="6" t="str">
        <x:v>Startdrive entry pending native project</x:v>
      </x:c>
    </x:row>
    <x:row r="3" ht="27" customHeight="1">
      <x:c r="A3" s="6" t="str">
        <x:v>-U100</x:v>
      </x:c>
      <x:c r="B3" s="6" t="str">
        <x:v>Rated power</x:v>
      </x:c>
      <x:c r="C3" s="6" t="str">
        <x:v>0.75 kW provisional</x:v>
      </x:c>
      <x:c r="D3" s="6" t="str">
        <x:v>Verify motor nameplate</x:v>
      </x:c>
    </x:row>
    <x:row r="4" ht="27" customHeight="1">
      <x:c r="A4" s="6" t="str">
        <x:v>-U101</x:v>
      </x:c>
      <x:c r="B4" s="6" t="str">
        <x:v>Control source</x:v>
      </x:c>
      <x:c r="C4" s="6" t="str">
        <x:v>PROFINET telegram</x:v>
      </x:c>
      <x:c r="D4" s="6" t="str">
        <x:v>Startdrive entry pending native project</x:v>
      </x:c>
    </x:row>
    <x:row r="5" ht="27" customHeight="1">
      <x:c r="A5" s="6" t="str">
        <x:v>-U101</x:v>
      </x:c>
      <x:c r="B5" s="6" t="str">
        <x:v>Rated power</x:v>
      </x:c>
      <x:c r="C5" s="6" t="str">
        <x:v>0.75 kW provisional</x:v>
      </x:c>
      <x:c r="D5" s="6" t="str">
        <x:v>Verify motor/pump data</x:v>
      </x:c>
    </x:row>
    <x:row r="6" ht="27" customHeight="1">
      <x:c r="A6" s="6" t="str">
        <x:v>Both</x:v>
      </x:c>
      <x:c r="B6" s="6" t="str">
        <x:v>STO</x:v>
      </x:c>
      <x:c r="C6" s="6" t="str">
        <x:v>External conceptual safety interface only</x:v>
      </x:c>
      <x:c r="D6" s="6" t="str">
        <x:v>No safety claim; qualified design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fb59208647504d6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</x:row>
    <x:row r="2" ht="27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subscribed/published node</x:v>
      </x:c>
      <x:c r="F2" s="6" t="str">
        <x:v>0</x:v>
      </x:c>
    </x:row>
    <x:row r="3" ht="27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One-shot request</x:v>
      </x:c>
      <x:c r="E3" s="6" t="str">
        <x:v>OPC UA subscribed/published node</x:v>
      </x:c>
      <x:c r="F3" s="6" t="str">
        <x:v>0</x:v>
      </x:c>
    </x:row>
    <x:row r="4" ht="27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subscribed/published node</x:v>
      </x:c>
      <x:c r="F4" s="6" t="str">
        <x:v>0</x:v>
      </x:c>
    </x:row>
    <x:row r="5" ht="27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subscribed/published node</x:v>
      </x:c>
      <x:c r="F5" s="6" t="str">
        <x:v>0</x:v>
      </x:c>
    </x:row>
    <x:row r="6" ht="27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subscribed/published node</x:v>
      </x:c>
      <x:c r="F6" s="6" t="str">
        <x:v>0</x:v>
      </x:c>
    </x:row>
    <x:row r="7" ht="27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subscribed/published node</x:v>
      </x:c>
      <x:c r="F7" s="6" t="str">
        <x:v>0</x:v>
      </x:c>
    </x:row>
    <x:row r="8" ht="27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subscribed/published node</x:v>
      </x:c>
      <x:c r="F8" s="6" t="str">
        <x:v>0</x:v>
      </x:c>
    </x:row>
    <x:row r="9" ht="27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subscribed/published node</x:v>
      </x:c>
      <x:c r="F9" s="6" t="str">
        <x:v>0</x:v>
      </x:c>
    </x:row>
    <x:row r="10" ht="27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subscribed/published node</x:v>
      </x:c>
      <x:c r="F10" s="6" t="str">
        <x:v>0</x:v>
      </x:c>
    </x:row>
    <x:row r="11" ht="27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subscribed/published node</x:v>
      </x:c>
      <x:c r="F11" s="6" t="str">
        <x:v>1000</x:v>
      </x:c>
    </x:row>
    <x:row r="12" ht="27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subscribed/published node</x:v>
      </x:c>
      <x:c r="F12" s="6" t="str">
        <x:v>0</x:v>
      </x:c>
    </x:row>
    <x:row r="13" ht="27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subscribed/published node</x:v>
      </x:c>
      <x:c r="F13" s="6" t="str">
        <x:v>0</x:v>
      </x:c>
    </x:row>
    <x:row r="14" ht="27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subscribed/published node</x:v>
      </x:c>
      <x:c r="F14" s="6" t="str">
        <x:v>0</x:v>
      </x:c>
    </x:row>
    <x:row r="15" ht="27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subscribed/published node</x:v>
      </x:c>
      <x:c r="F15" s="6" t="str">
        <x:v>0</x:v>
      </x:c>
    </x:row>
    <x:row r="16" ht="27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subscribed/published node</x:v>
      </x:c>
      <x:c r="F16" s="6" t="str">
        <x:v>0</x:v>
      </x:c>
    </x:row>
    <x:row r="17" ht="27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subscribed/published node</x:v>
      </x:c>
      <x:c r="F17" s="6" t="str">
        <x:v>0</x:v>
      </x:c>
    </x:row>
    <x:row r="18" ht="27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subscribed/published node</x:v>
      </x:c>
      <x:c r="F18" s="6" t="str">
        <x:v>0</x:v>
      </x:c>
    </x:row>
    <x:row r="19" ht="27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subscribed/published node</x:v>
      </x:c>
      <x:c r="F19" s="6" t="str">
        <x:v>0</x:v>
      </x:c>
    </x:row>
    <x:row r="20" ht="27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subscribed/published node</x:v>
      </x:c>
      <x:c r="F20" s="6" t="str">
        <x:v>0</x:v>
      </x:c>
    </x:row>
    <x:row r="21" ht="27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subscribed/published node</x:v>
      </x:c>
      <x:c r="F21" s="6" t="str">
        <x:v>0</x:v>
      </x:c>
    </x:row>
    <x:row r="22" ht="27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subscribed/published node</x:v>
      </x:c>
      <x:c r="F22" s="6" t="str">
        <x:v>1000</x:v>
      </x:c>
    </x:row>
  </x:sheetData>
  <x:pageMargins left="0.7" right="0.7" top="0.75" bottom="0.75" header="0.3" footer="0.3"/>
  <x:tableParts count="1">
    <x:tablePart xmlns:r="http://schemas.openxmlformats.org/officeDocument/2006/relationships" r:id="R7849e319f6574cf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owner</x:v>
      </x:c>
      <x:c r="E1" s="12" t="str">
        <x:v>role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Controls</x:v>
      </x:c>
      <x:c r="E2" s="6" t="str">
        <x:v>PROFINET controller / OPC UA server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Controls</x:v>
      </x:c>
      <x:c r="E3" s="6" t="str">
        <x:v>Unified operator panel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Drives</x:v>
      </x:c>
      <x:c r="E4" s="6" t="str">
        <x:v>Conveyor G120C PN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Drives</x:v>
      </x:c>
      <x:c r="E5" s="6" t="str">
        <x:v>Pump G120C PN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Vision</x:v>
      </x:c>
      <x:c r="E6" s="6" t="str">
        <x:v>OPC UA client + inference</x:v>
      </x:c>
    </x:row>
    <x:row r="7" ht="27" customHeight="1">
      <x:c r="A7" s="6" t="str">
        <x:v>ENG-SERVICE</x:v>
      </x:c>
      <x:c r="B7" s="6" t="str">
        <x:v>DHCP/reserved</x:v>
      </x:c>
      <x:c r="C7" s="6" t="str">
        <x:v>99</x:v>
      </x:c>
      <x:c r="D7" s="6" t="str">
        <x:v>Engineering</x:v>
      </x:c>
      <x:c r="E7" s="6" t="str">
        <x:v>Temporary service access; disabled in production</x:v>
      </x:c>
    </x:row>
  </x:sheetData>
  <x:pageMargins left="0.7" right="0.7" top="0.75" bottom="0.75" header="0.3" footer="0.3"/>
  <x:tableParts count="1">
    <x:tablePart xmlns:r="http://schemas.openxmlformats.org/officeDocument/2006/relationships" r:id="R23351c728ceb44f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22.5" hidden="0" customWidth="1"/>
    <x:col min="3" max="3" width="22.5" hidden="0" customWidth="1"/>
    <x:col min="4" max="4" width="19.3799991607666" hidden="0" customWidth="1"/>
    <x:col min="5" max="5" width="19.3799991607666" hidden="0" customWidth="1"/>
    <x:col min="6" max="6" width="22.5" hidden="0" customWidth="1"/>
  </x:cols>
  <x:sheetData>
    <x:row r="1" ht="31.5" customHeight="1">
      <x:c r="A1" s="12" t="str">
        <x:v>terminal</x:v>
      </x:c>
      <x:c r="B1" s="12" t="str">
        <x:v>symbol</x:v>
      </x:c>
      <x:c r="C1" s="12" t="str">
        <x:v>plc_address</x:v>
      </x:c>
      <x:c r="D1" s="12" t="str">
        <x:v>device</x:v>
      </x:c>
      <x:c r="E1" s="12" t="str">
        <x:v>potential</x:v>
      </x:c>
      <x:c r="F1" s="12" t="str">
        <x:v>status</x:v>
      </x:c>
    </x:row>
    <x:row r="2" ht="27" customHeight="1">
      <x:c r="A2" s="6" t="str">
        <x:v>X100:1</x:v>
      </x:c>
      <x:c r="B2" s="6" t="str">
        <x:v>SAFETY_OK</x:v>
      </x:c>
      <x:c r="C2" s="6" t="str">
        <x:v>I0.0</x:v>
      </x:c>
      <x:c r="D2" s="6" t="str">
        <x:v>Safety relay mirror</x:v>
      </x:c>
      <x:c r="E2" s="6" t="str">
        <x:v>24VDC/0V</x:v>
      </x:c>
      <x:c r="F2" s="6" t="str">
        <x:v>Inherited concept; final QET Siemens upgrade open</x:v>
      </x:c>
    </x:row>
    <x:row r="3" ht="27" customHeight="1">
      <x:c r="A3" s="6" t="str">
        <x:v>X100:2</x:v>
      </x:c>
      <x:c r="B3" s="6" t="str">
        <x:v>GUARD_CLOSED_STATUS</x:v>
      </x:c>
      <x:c r="C3" s="6" t="str">
        <x:v>I0.1</x:v>
      </x:c>
      <x:c r="D3" s="6" t="str">
        <x:v>Guard circuit mirror</x:v>
      </x:c>
      <x:c r="E3" s="6" t="str">
        <x:v>24VDC/0V</x:v>
      </x:c>
      <x:c r="F3" s="6" t="str">
        <x:v>Inherited concept; final QET Siemens upgrade open</x:v>
      </x:c>
    </x:row>
    <x:row r="4" ht="27" customHeight="1">
      <x:c r="A4" s="6" t="str">
        <x:v>X100:3</x:v>
      </x:c>
      <x:c r="B4" s="6" t="str">
        <x:v>AIR_PRESSURE_OK</x:v>
      </x:c>
      <x:c r="C4" s="6" t="str">
        <x:v>I0.2</x:v>
      </x:c>
      <x:c r="D4" s="6" t="str">
        <x:v>-B100</x:v>
      </x:c>
      <x:c r="E4" s="6" t="str">
        <x:v>24VDC/0V</x:v>
      </x:c>
      <x:c r="F4" s="6" t="str">
        <x:v>Inherited concept; final QET Siemens upgrade open</x:v>
      </x:c>
    </x:row>
    <x:row r="5" ht="27" customHeight="1">
      <x:c r="A5" s="6" t="str">
        <x:v>X100:4</x:v>
      </x:c>
      <x:c r="B5" s="6" t="str">
        <x:v>PRODUCT_SUPPLY_OK</x:v>
      </x:c>
      <x:c r="C5" s="6" t="str">
        <x:v>I0.3</x:v>
      </x:c>
      <x:c r="D5" s="6" t="str">
        <x:v>-B101</x:v>
      </x:c>
      <x:c r="E5" s="6" t="str">
        <x:v>24VDC/0V</x:v>
      </x:c>
      <x:c r="F5" s="6" t="str">
        <x:v>Inherited concept; final QET Siemens upgrade open</x:v>
      </x:c>
    </x:row>
    <x:row r="6" ht="27" customHeight="1">
      <x:c r="A6" s="6" t="str">
        <x:v>X100:5</x:v>
      </x:c>
      <x:c r="B6" s="6" t="str">
        <x:v>CONVEYOR_READY</x:v>
      </x:c>
      <x:c r="C6" s="6" t="str">
        <x:v>I0.4</x:v>
      </x:c>
      <x:c r="D6" s="6" t="str">
        <x:v>-U100</x:v>
      </x:c>
      <x:c r="E6" s="6" t="str">
        <x:v>24VDC/0V</x:v>
      </x:c>
      <x:c r="F6" s="6" t="str">
        <x:v>Inherited concept; final QET Siemens upgrade open</x:v>
      </x:c>
    </x:row>
    <x:row r="7" ht="27" customHeight="1">
      <x:c r="A7" s="6" t="str">
        <x:v>X100:6</x:v>
      </x:c>
      <x:c r="B7" s="6" t="str">
        <x:v>CONVEYOR_RUNNING</x:v>
      </x:c>
      <x:c r="C7" s="6" t="str">
        <x:v>I0.5</x:v>
      </x:c>
      <x:c r="D7" s="6" t="str">
        <x:v>-U100</x:v>
      </x:c>
      <x:c r="E7" s="6" t="str">
        <x:v>24VDC/0V</x:v>
      </x:c>
      <x:c r="F7" s="6" t="str">
        <x:v>Inherited concept; final QET Siemens upgrade open</x:v>
      </x:c>
    </x:row>
    <x:row r="8" ht="27" customHeight="1">
      <x:c r="A8" s="6" t="str">
        <x:v>X100:7</x:v>
      </x:c>
      <x:c r="B8" s="6" t="str">
        <x:v>CONVEYOR_FAULT</x:v>
      </x:c>
      <x:c r="C8" s="6" t="str">
        <x:v>I0.6</x:v>
      </x:c>
      <x:c r="D8" s="6" t="str">
        <x:v>-U100</x:v>
      </x:c>
      <x:c r="E8" s="6" t="str">
        <x:v>24VDC/0V</x:v>
      </x:c>
      <x:c r="F8" s="6" t="str">
        <x:v>Inherited concept; final QET Siemens upgrade open</x:v>
      </x:c>
    </x:row>
    <x:row r="9" ht="27" customHeight="1">
      <x:c r="A9" s="6" t="str">
        <x:v>X100:8</x:v>
      </x:c>
      <x:c r="B9" s="6" t="str">
        <x:v>PUMP_READY</x:v>
      </x:c>
      <x:c r="C9" s="6" t="str">
        <x:v>I0.7</x:v>
      </x:c>
      <x:c r="D9" s="6" t="str">
        <x:v>-U101</x:v>
      </x:c>
      <x:c r="E9" s="6" t="str">
        <x:v>24VDC/0V</x:v>
      </x:c>
      <x:c r="F9" s="6" t="str">
        <x:v>Inherited concept; final QET Siemens upgrade open</x:v>
      </x:c>
    </x:row>
    <x:row r="10" ht="27" customHeight="1">
      <x:c r="A10" s="6" t="str">
        <x:v>X100:9</x:v>
      </x:c>
      <x:c r="B10" s="6" t="str">
        <x:v>PUMP_RUNNING</x:v>
      </x:c>
      <x:c r="C10" s="6" t="str">
        <x:v>I1.0</x:v>
      </x:c>
      <x:c r="D10" s="6" t="str">
        <x:v>-U101</x:v>
      </x:c>
      <x:c r="E10" s="6" t="str">
        <x:v>24VDC/0V</x:v>
      </x:c>
      <x:c r="F10" s="6" t="str">
        <x:v>Inherited concept; final QET Siemens upgrade open</x:v>
      </x:c>
    </x:row>
    <x:row r="11" ht="27" customHeight="1">
      <x:c r="A11" s="6" t="str">
        <x:v>X100:10</x:v>
      </x:c>
      <x:c r="B11" s="6" t="str">
        <x:v>PUMP_FAULT</x:v>
      </x:c>
      <x:c r="C11" s="6" t="str">
        <x:v>I1.1</x:v>
      </x:c>
      <x:c r="D11" s="6" t="str">
        <x:v>-U101</x:v>
      </x:c>
      <x:c r="E11" s="6" t="str">
        <x:v>24VDC/0V</x:v>
      </x:c>
      <x:c r="F11" s="6" t="str">
        <x:v>Inherited concept; final QET Siemens upgrade open</x:v>
      </x:c>
    </x:row>
    <x:row r="12" ht="27" customHeight="1">
      <x:c r="A12" s="6" t="str">
        <x:v>X100:11</x:v>
      </x:c>
      <x:c r="B12" s="6" t="str">
        <x:v>BOTTLE_AT_NEST_1</x:v>
      </x:c>
      <x:c r="C12" s="6" t="str">
        <x:v>I1.2</x:v>
      </x:c>
      <x:c r="D12" s="6" t="str">
        <x:v>-B110</x:v>
      </x:c>
      <x:c r="E12" s="6" t="str">
        <x:v>24VDC/0V</x:v>
      </x:c>
      <x:c r="F12" s="6" t="str">
        <x:v>Inherited concept; final QET Siemens upgrade open</x:v>
      </x:c>
    </x:row>
    <x:row r="13" ht="27" customHeight="1">
      <x:c r="A13" s="6" t="str">
        <x:v>X100:12</x:v>
      </x:c>
      <x:c r="B13" s="6" t="str">
        <x:v>BOTTLE_AT_NEST_2</x:v>
      </x:c>
      <x:c r="C13" s="6" t="str">
        <x:v>I1.3</x:v>
      </x:c>
      <x:c r="D13" s="6" t="str">
        <x:v>-B111</x:v>
      </x:c>
      <x:c r="E13" s="6" t="str">
        <x:v>24VDC/0V</x:v>
      </x:c>
      <x:c r="F13" s="6" t="str">
        <x:v>Inherited concept; final QET Siemens upgrade open</x:v>
      </x:c>
    </x:row>
    <x:row r="14" ht="27" customHeight="1">
      <x:c r="A14" s="6" t="str">
        <x:v>X100:13</x:v>
      </x:c>
      <x:c r="B14" s="6" t="str">
        <x:v>GATE_OPEN_FB</x:v>
      </x:c>
      <x:c r="C14" s="6" t="str">
        <x:v>I1.4</x:v>
      </x:c>
      <x:c r="D14" s="6" t="str">
        <x:v>-B120</x:v>
      </x:c>
      <x:c r="E14" s="6" t="str">
        <x:v>24VDC/0V</x:v>
      </x:c>
      <x:c r="F14" s="6" t="str">
        <x:v>Inherited concept; final QET Siemens upgrade open</x:v>
      </x:c>
    </x:row>
    <x:row r="15" ht="27" customHeight="1">
      <x:c r="A15" s="6" t="str">
        <x:v>X100:14</x:v>
      </x:c>
      <x:c r="B15" s="6" t="str">
        <x:v>GATE_CLOSED_FB</x:v>
      </x:c>
      <x:c r="C15" s="6" t="str">
        <x:v>I1.5</x:v>
      </x:c>
      <x:c r="D15" s="6" t="str">
        <x:v>-B121</x:v>
      </x:c>
      <x:c r="E15" s="6" t="str">
        <x:v>24VDC/0V</x:v>
      </x:c>
      <x:c r="F15" s="6" t="str">
        <x:v>Inherited concept; final QET Siemens upgrade open</x:v>
      </x:c>
    </x:row>
    <x:row r="16" ht="27" customHeight="1">
      <x:c r="A16" s="6" t="str">
        <x:v>X100:15</x:v>
      </x:c>
      <x:c r="B16" s="6" t="str">
        <x:v>CLAMP_RELEASED_FB</x:v>
      </x:c>
      <x:c r="C16" s="6" t="str">
        <x:v>I1.6</x:v>
      </x:c>
      <x:c r="D16" s="6" t="str">
        <x:v>-B122</x:v>
      </x:c>
      <x:c r="E16" s="6" t="str">
        <x:v>24VDC/0V</x:v>
      </x:c>
      <x:c r="F16" s="6" t="str">
        <x:v>Inherited concept; final QET Siemens upgrade open</x:v>
      </x:c>
    </x:row>
    <x:row r="17" ht="27" customHeight="1">
      <x:c r="A17" s="6" t="str">
        <x:v>X100:16</x:v>
      </x:c>
      <x:c r="B17" s="6" t="str">
        <x:v>CLAMP_ENGAGED_FB</x:v>
      </x:c>
      <x:c r="C17" s="6" t="str">
        <x:v>I1.7</x:v>
      </x:c>
      <x:c r="D17" s="6" t="str">
        <x:v>-B123</x:v>
      </x:c>
      <x:c r="E17" s="6" t="str">
        <x:v>24VDC/0V</x:v>
      </x:c>
      <x:c r="F17" s="6" t="str">
        <x:v>Inherited concept; final QET Siemens upgrade open</x:v>
      </x:c>
    </x:row>
    <x:row r="18" ht="27" customHeight="1">
      <x:c r="A18" s="6" t="str">
        <x:v>X100:17</x:v>
      </x:c>
      <x:c r="B18" s="6" t="str">
        <x:v>FILL_VALVE_1_CLOSED_FB</x:v>
      </x:c>
      <x:c r="C18" s="6" t="str">
        <x:v>I2.0</x:v>
      </x:c>
      <x:c r="D18" s="6" t="str">
        <x:v>-B130</x:v>
      </x:c>
      <x:c r="E18" s="6" t="str">
        <x:v>24VDC/0V</x:v>
      </x:c>
      <x:c r="F18" s="6" t="str">
        <x:v>Inherited concept; final QET Siemens upgrade open</x:v>
      </x:c>
    </x:row>
    <x:row r="19" ht="27" customHeight="1">
      <x:c r="A19" s="6" t="str">
        <x:v>X100:18</x:v>
      </x:c>
      <x:c r="B19" s="6" t="str">
        <x:v>FILL_VALVE_2_CLOSED_FB</x:v>
      </x:c>
      <x:c r="C19" s="6" t="str">
        <x:v>I2.1</x:v>
      </x:c>
      <x:c r="D19" s="6" t="str">
        <x:v>-B131</x:v>
      </x:c>
      <x:c r="E19" s="6" t="str">
        <x:v>24VDC/0V</x:v>
      </x:c>
      <x:c r="F19" s="6" t="str">
        <x:v>Inherited concept; final QET Siemens upgrade open</x:v>
      </x:c>
    </x:row>
    <x:row r="20" ht="27" customHeight="1">
      <x:c r="A20" s="6" t="str">
        <x:v>X100:19</x:v>
      </x:c>
      <x:c r="B20" s="6" t="str">
        <x:v>CAPPER_READY</x:v>
      </x:c>
      <x:c r="C20" s="6" t="str">
        <x:v>I2.2</x:v>
      </x:c>
      <x:c r="D20" s="6" t="str">
        <x:v>-IF140</x:v>
      </x:c>
      <x:c r="E20" s="6" t="str">
        <x:v>24VDC/0V</x:v>
      </x:c>
      <x:c r="F20" s="6" t="str">
        <x:v>Inherited concept; final QET Siemens upgrade open</x:v>
      </x:c>
    </x:row>
    <x:row r="21" ht="27" customHeight="1">
      <x:c r="A21" s="6" t="str">
        <x:v>X100:20</x:v>
      </x:c>
      <x:c r="B21" s="6" t="str">
        <x:v>CAPPER_BUSY</x:v>
      </x:c>
      <x:c r="C21" s="6" t="str">
        <x:v>I2.3</x:v>
      </x:c>
      <x:c r="D21" s="6" t="str">
        <x:v>-IF140</x:v>
      </x:c>
      <x:c r="E21" s="6" t="str">
        <x:v>24VDC/0V</x:v>
      </x:c>
      <x:c r="F21" s="6" t="str">
        <x:v>Inherited concept; final QET Siemens upgrade open</x:v>
      </x:c>
    </x:row>
    <x:row r="22" ht="27" customHeight="1">
      <x:c r="A22" s="6" t="str">
        <x:v>X100:21</x:v>
      </x:c>
      <x:c r="B22" s="6" t="str">
        <x:v>CAPPER_COMPLETE</x:v>
      </x:c>
      <x:c r="C22" s="6" t="str">
        <x:v>I2.4</x:v>
      </x:c>
      <x:c r="D22" s="6" t="str">
        <x:v>-IF140</x:v>
      </x:c>
      <x:c r="E22" s="6" t="str">
        <x:v>24VDC/0V</x:v>
      </x:c>
      <x:c r="F22" s="6" t="str">
        <x:v>Inherited concept; final QET Siemens upgrade open</x:v>
      </x:c>
    </x:row>
    <x:row r="23" ht="27" customHeight="1">
      <x:c r="A23" s="6" t="str">
        <x:v>X100:22</x:v>
      </x:c>
      <x:c r="B23" s="6" t="str">
        <x:v>CAPPER_FAULT</x:v>
      </x:c>
      <x:c r="C23" s="6" t="str">
        <x:v>I2.5</x:v>
      </x:c>
      <x:c r="D23" s="6" t="str">
        <x:v>-IF140</x:v>
      </x:c>
      <x:c r="E23" s="6" t="str">
        <x:v>24VDC/0V</x:v>
      </x:c>
      <x:c r="F23" s="6" t="str">
        <x:v>Inherited concept; final QET Siemens upgrade open</x:v>
      </x:c>
    </x:row>
    <x:row r="24" ht="27" customHeight="1">
      <x:c r="A24" s="6" t="str">
        <x:v>X100:23</x:v>
      </x:c>
      <x:c r="B24" s="6" t="str">
        <x:v>LOCAL_RESET_PB</x:v>
      </x:c>
      <x:c r="C24" s="6" t="str">
        <x:v>I2.6</x:v>
      </x:c>
      <x:c r="D24" s="6" t="str">
        <x:v>-S100</x:v>
      </x:c>
      <x:c r="E24" s="6" t="str">
        <x:v>24VDC/0V</x:v>
      </x:c>
      <x:c r="F24" s="6" t="str">
        <x:v>Inherited concept; final QET Siemens upgrade open</x:v>
      </x:c>
    </x:row>
    <x:row r="25" ht="27" customHeight="1">
      <x:c r="A25" s="6" t="str">
        <x:v>X100:24</x:v>
      </x:c>
      <x:c r="B25" s="6" t="str">
        <x:v>LOCAL_STOP_PB</x:v>
      </x:c>
      <x:c r="C25" s="6" t="str">
        <x:v>I2.7</x:v>
      </x:c>
      <x:c r="D25" s="6" t="str">
        <x:v>-S101</x:v>
      </x:c>
      <x:c r="E25" s="6" t="str">
        <x:v>24VDC/0V</x:v>
      </x:c>
      <x:c r="F25" s="6" t="str">
        <x:v>Inherited concept; final QET Siemens upgrade open</x:v>
      </x:c>
    </x:row>
    <x:row r="26" ht="27" customHeight="1">
      <x:c r="A26" s="6" t="str">
        <x:v>X101:1</x:v>
      </x:c>
      <x:c r="B26" s="6" t="str">
        <x:v>DI_SPARE_01</x:v>
      </x:c>
      <x:c r="C26" s="6" t="str">
        <x:v>I3.0</x:v>
      </x:c>
      <x:c r="D26" s="6" t="str">
        <x:v>SPARE</x:v>
      </x:c>
      <x:c r="E26" s="6" t="str">
        <x:v>24VDC/0V</x:v>
      </x:c>
      <x:c r="F26" s="6" t="str">
        <x:v>Inherited concept; final QET Siemens upgrade open</x:v>
      </x:c>
    </x:row>
    <x:row r="27" ht="27" customHeight="1">
      <x:c r="A27" s="6" t="str">
        <x:v>X101:2</x:v>
      </x:c>
      <x:c r="B27" s="6" t="str">
        <x:v>DI_SPARE_02</x:v>
      </x:c>
      <x:c r="C27" s="6" t="str">
        <x:v>I3.1</x:v>
      </x:c>
      <x:c r="D27" s="6" t="str">
        <x:v>SPARE</x:v>
      </x:c>
      <x:c r="E27" s="6" t="str">
        <x:v>24VDC/0V</x:v>
      </x:c>
      <x:c r="F27" s="6" t="str">
        <x:v>Inherited concept; final QET Siemens upgrade open</x:v>
      </x:c>
    </x:row>
    <x:row r="28" ht="27" customHeight="1">
      <x:c r="A28" s="6" t="str">
        <x:v>X101:3</x:v>
      </x:c>
      <x:c r="B28" s="6" t="str">
        <x:v>DI_SPARE_03</x:v>
      </x:c>
      <x:c r="C28" s="6" t="str">
        <x:v>I3.2</x:v>
      </x:c>
      <x:c r="D28" s="6" t="str">
        <x:v>SPARE</x:v>
      </x:c>
      <x:c r="E28" s="6" t="str">
        <x:v>24VDC/0V</x:v>
      </x:c>
      <x:c r="F28" s="6" t="str">
        <x:v>Inherited concept; final QET Siemens upgrade open</x:v>
      </x:c>
    </x:row>
    <x:row r="29" ht="27" customHeight="1">
      <x:c r="A29" s="6" t="str">
        <x:v>X101:4</x:v>
      </x:c>
      <x:c r="B29" s="6" t="str">
        <x:v>DI_SPARE_04</x:v>
      </x:c>
      <x:c r="C29" s="6" t="str">
        <x:v>I3.3</x:v>
      </x:c>
      <x:c r="D29" s="6" t="str">
        <x:v>SPARE</x:v>
      </x:c>
      <x:c r="E29" s="6" t="str">
        <x:v>24VDC/0V</x:v>
      </x:c>
      <x:c r="F29" s="6" t="str">
        <x:v>Inherited concept; final QET Siemens upgrade open</x:v>
      </x:c>
    </x:row>
    <x:row r="30" ht="27" customHeight="1">
      <x:c r="A30" s="6" t="str">
        <x:v>X101:5</x:v>
      </x:c>
      <x:c r="B30" s="6" t="str">
        <x:v>DI_SPARE_05</x:v>
      </x:c>
      <x:c r="C30" s="6" t="str">
        <x:v>I3.4</x:v>
      </x:c>
      <x:c r="D30" s="6" t="str">
        <x:v>SPARE</x:v>
      </x:c>
      <x:c r="E30" s="6" t="str">
        <x:v>24VDC/0V</x:v>
      </x:c>
      <x:c r="F30" s="6" t="str">
        <x:v>Inherited concept; final QET Siemens upgrade open</x:v>
      </x:c>
    </x:row>
    <x:row r="31" ht="27" customHeight="1">
      <x:c r="A31" s="6" t="str">
        <x:v>X101:6</x:v>
      </x:c>
      <x:c r="B31" s="6" t="str">
        <x:v>DI_SPARE_06</x:v>
      </x:c>
      <x:c r="C31" s="6" t="str">
        <x:v>I3.5</x:v>
      </x:c>
      <x:c r="D31" s="6" t="str">
        <x:v>SPARE</x:v>
      </x:c>
      <x:c r="E31" s="6" t="str">
        <x:v>24VDC/0V</x:v>
      </x:c>
      <x:c r="F31" s="6" t="str">
        <x:v>Inherited concept; final QET Siemens upgrade open</x:v>
      </x:c>
    </x:row>
    <x:row r="32" ht="27" customHeight="1">
      <x:c r="A32" s="6" t="str">
        <x:v>X101:7</x:v>
      </x:c>
      <x:c r="B32" s="6" t="str">
        <x:v>DI_SPARE_07</x:v>
      </x:c>
      <x:c r="C32" s="6" t="str">
        <x:v>I3.6</x:v>
      </x:c>
      <x:c r="D32" s="6" t="str">
        <x:v>SPARE</x:v>
      </x:c>
      <x:c r="E32" s="6" t="str">
        <x:v>24VDC/0V</x:v>
      </x:c>
      <x:c r="F32" s="6" t="str">
        <x:v>Inherited concept; final QET Siemens upgrade open</x:v>
      </x:c>
    </x:row>
    <x:row r="33" ht="27" customHeight="1">
      <x:c r="A33" s="6" t="str">
        <x:v>X101:8</x:v>
      </x:c>
      <x:c r="B33" s="6" t="str">
        <x:v>DI_SPARE_08</x:v>
      </x:c>
      <x:c r="C33" s="6" t="str">
        <x:v>I3.7</x:v>
      </x:c>
      <x:c r="D33" s="6" t="str">
        <x:v>SPARE</x:v>
      </x:c>
      <x:c r="E33" s="6" t="str">
        <x:v>24VDC/0V</x:v>
      </x:c>
      <x:c r="F33" s="6" t="str">
        <x:v>Inherited concept; final QET Siemens upgrade open</x:v>
      </x:c>
    </x:row>
    <x:row r="34" ht="27" customHeight="1">
      <x:c r="A34" s="6" t="str">
        <x:v>X101:9</x:v>
      </x:c>
      <x:c r="B34" s="6" t="str">
        <x:v>CONVEYOR_RUN_CMD</x:v>
      </x:c>
      <x:c r="C34" s="6" t="str">
        <x:v>Q0.0</x:v>
      </x:c>
      <x:c r="D34" s="6" t="str">
        <x:v>-K200</x:v>
      </x:c>
      <x:c r="E34" s="6" t="str">
        <x:v>24VDC/0V</x:v>
      </x:c>
      <x:c r="F34" s="6" t="str">
        <x:v>Inherited concept; final QET Siemens upgrade open</x:v>
      </x:c>
    </x:row>
    <x:row r="35" ht="27" customHeight="1">
      <x:c r="A35" s="6" t="str">
        <x:v>X101:10</x:v>
      </x:c>
      <x:c r="B35" s="6" t="str">
        <x:v>PUMP_RUN_CMD</x:v>
      </x:c>
      <x:c r="C35" s="6" t="str">
        <x:v>Q0.1</x:v>
      </x:c>
      <x:c r="D35" s="6" t="str">
        <x:v>-K201</x:v>
      </x:c>
      <x:c r="E35" s="6" t="str">
        <x:v>24VDC/0V</x:v>
      </x:c>
      <x:c r="F35" s="6" t="str">
        <x:v>Inherited concept; final QET Siemens upgrade open</x:v>
      </x:c>
    </x:row>
    <x:row r="36" ht="27" customHeight="1">
      <x:c r="A36" s="6" t="str">
        <x:v>X101:11</x:v>
      </x:c>
      <x:c r="B36" s="6" t="str">
        <x:v>FILL_VALVE_1_OPEN_CMD</x:v>
      </x:c>
      <x:c r="C36" s="6" t="str">
        <x:v>Q0.2</x:v>
      </x:c>
      <x:c r="D36" s="6" t="str">
        <x:v>-K202</x:v>
      </x:c>
      <x:c r="E36" s="6" t="str">
        <x:v>24VDC/0V</x:v>
      </x:c>
      <x:c r="F36" s="6" t="str">
        <x:v>Inherited concept; final QET Siemens upgrade open</x:v>
      </x:c>
    </x:row>
    <x:row r="37" ht="27" customHeight="1">
      <x:c r="A37" s="6" t="str">
        <x:v>X101:12</x:v>
      </x:c>
      <x:c r="B37" s="6" t="str">
        <x:v>FILL_VALVE_2_OPEN_CMD</x:v>
      </x:c>
      <x:c r="C37" s="6" t="str">
        <x:v>Q0.3</x:v>
      </x:c>
      <x:c r="D37" s="6" t="str">
        <x:v>-K203</x:v>
      </x:c>
      <x:c r="E37" s="6" t="str">
        <x:v>24VDC/0V</x:v>
      </x:c>
      <x:c r="F37" s="6" t="str">
        <x:v>Inherited concept; final QET Siemens upgrade open</x:v>
      </x:c>
    </x:row>
    <x:row r="38" ht="27" customHeight="1">
      <x:c r="A38" s="6" t="str">
        <x:v>X101:13</x:v>
      </x:c>
      <x:c r="B38" s="6" t="str">
        <x:v>GATE_OPEN_CMD</x:v>
      </x:c>
      <x:c r="C38" s="6" t="str">
        <x:v>Q0.4</x:v>
      </x:c>
      <x:c r="D38" s="6" t="str">
        <x:v>-K204</x:v>
      </x:c>
      <x:c r="E38" s="6" t="str">
        <x:v>24VDC/0V</x:v>
      </x:c>
      <x:c r="F38" s="6" t="str">
        <x:v>Inherited concept; final QET Siemens upgrade open</x:v>
      </x:c>
    </x:row>
    <x:row r="39" ht="27" customHeight="1">
      <x:c r="A39" s="6" t="str">
        <x:v>X101:14</x:v>
      </x:c>
      <x:c r="B39" s="6" t="str">
        <x:v>GATE_CLOSE_CMD</x:v>
      </x:c>
      <x:c r="C39" s="6" t="str">
        <x:v>Q0.5</x:v>
      </x:c>
      <x:c r="D39" s="6" t="str">
        <x:v>-K205</x:v>
      </x:c>
      <x:c r="E39" s="6" t="str">
        <x:v>24VDC/0V</x:v>
      </x:c>
      <x:c r="F39" s="6" t="str">
        <x:v>Inherited concept; final QET Siemens upgrade open</x:v>
      </x:c>
    </x:row>
    <x:row r="40" ht="27" customHeight="1">
      <x:c r="A40" s="6" t="str">
        <x:v>X101:15</x:v>
      </x:c>
      <x:c r="B40" s="6" t="str">
        <x:v>CLAMP_ENGAGE_CMD</x:v>
      </x:c>
      <x:c r="C40" s="6" t="str">
        <x:v>Q0.6</x:v>
      </x:c>
      <x:c r="D40" s="6" t="str">
        <x:v>-K206</x:v>
      </x:c>
      <x:c r="E40" s="6" t="str">
        <x:v>24VDC/0V</x:v>
      </x:c>
      <x:c r="F40" s="6" t="str">
        <x:v>Inherited concept; final QET Siemens upgrade open</x:v>
      </x:c>
    </x:row>
    <x:row r="41" ht="27" customHeight="1">
      <x:c r="A41" s="6" t="str">
        <x:v>X101:16</x:v>
      </x:c>
      <x:c r="B41" s="6" t="str">
        <x:v>CLAMP_RELEASE_CMD</x:v>
      </x:c>
      <x:c r="C41" s="6" t="str">
        <x:v>Q0.7</x:v>
      </x:c>
      <x:c r="D41" s="6" t="str">
        <x:v>-K207</x:v>
      </x:c>
      <x:c r="E41" s="6" t="str">
        <x:v>24VDC/0V</x:v>
      </x:c>
      <x:c r="F41" s="6" t="str">
        <x:v>Inherited concept; final QET Siemens upgrade open</x:v>
      </x:c>
    </x:row>
    <x:row r="42" ht="27" customHeight="1">
      <x:c r="A42" s="6" t="str">
        <x:v>X101:17</x:v>
      </x:c>
      <x:c r="B42" s="6" t="str">
        <x:v>CAPPER_REQUEST</x:v>
      </x:c>
      <x:c r="C42" s="6" t="str">
        <x:v>Q1.0</x:v>
      </x:c>
      <x:c r="D42" s="6" t="str">
        <x:v>-K208</x:v>
      </x:c>
      <x:c r="E42" s="6" t="str">
        <x:v>24VDC/0V</x:v>
      </x:c>
      <x:c r="F42" s="6" t="str">
        <x:v>Inherited concept; final QET Siemens upgrade open</x:v>
      </x:c>
    </x:row>
    <x:row r="43" ht="27" customHeight="1">
      <x:c r="A43" s="6" t="str">
        <x:v>X101:18</x:v>
      </x:c>
      <x:c r="B43" s="6" t="str">
        <x:v>STACK_GREEN</x:v>
      </x:c>
      <x:c r="C43" s="6" t="str">
        <x:v>Q1.1</x:v>
      </x:c>
      <x:c r="D43" s="6" t="str">
        <x:v>-K209</x:v>
      </x:c>
      <x:c r="E43" s="6" t="str">
        <x:v>24VDC/0V</x:v>
      </x:c>
      <x:c r="F43" s="6" t="str">
        <x:v>Inherited concept; final QET Siemens upgrade open</x:v>
      </x:c>
    </x:row>
    <x:row r="44" ht="27" customHeight="1">
      <x:c r="A44" s="6" t="str">
        <x:v>X101:19</x:v>
      </x:c>
      <x:c r="B44" s="6" t="str">
        <x:v>STACK_AMBER</x:v>
      </x:c>
      <x:c r="C44" s="6" t="str">
        <x:v>Q1.2</x:v>
      </x:c>
      <x:c r="D44" s="6" t="str">
        <x:v>-K210</x:v>
      </x:c>
      <x:c r="E44" s="6" t="str">
        <x:v>24VDC/0V</x:v>
      </x:c>
      <x:c r="F44" s="6" t="str">
        <x:v>Inherited concept; final QET Siemens upgrade open</x:v>
      </x:c>
    </x:row>
    <x:row r="45" ht="27" customHeight="1">
      <x:c r="A45" s="6" t="str">
        <x:v>X101:20</x:v>
      </x:c>
      <x:c r="B45" s="6" t="str">
        <x:v>STACK_RED</x:v>
      </x:c>
      <x:c r="C45" s="6" t="str">
        <x:v>Q1.3</x:v>
      </x:c>
      <x:c r="D45" s="6" t="str">
        <x:v>-K211</x:v>
      </x:c>
      <x:c r="E45" s="6" t="str">
        <x:v>24VDC/0V</x:v>
      </x:c>
      <x:c r="F45" s="6" t="str">
        <x:v>Inherited concept; final QET Siemens upgrade open</x:v>
      </x:c>
    </x:row>
    <x:row r="46" ht="27" customHeight="1">
      <x:c r="A46" s="6" t="str">
        <x:v>X101:21</x:v>
      </x:c>
      <x:c r="B46" s="6" t="str">
        <x:v>AUDIBLE_ALARM</x:v>
      </x:c>
      <x:c r="C46" s="6" t="str">
        <x:v>Q1.4</x:v>
      </x:c>
      <x:c r="D46" s="6" t="str">
        <x:v>-K212</x:v>
      </x:c>
      <x:c r="E46" s="6" t="str">
        <x:v>24VDC/0V</x:v>
      </x:c>
      <x:c r="F46" s="6" t="str">
        <x:v>Inherited concept; final QET Siemens upgrade open</x:v>
      </x:c>
    </x:row>
    <x:row r="47" ht="27" customHeight="1">
      <x:c r="A47" s="6" t="str">
        <x:v>X101:22</x:v>
      </x:c>
      <x:c r="B47" s="6" t="str">
        <x:v>CAMERA_LIGHT_ENABLE</x:v>
      </x:c>
      <x:c r="C47" s="6" t="str">
        <x:v>Q1.5</x:v>
      </x:c>
      <x:c r="D47" s="6" t="str">
        <x:v>-K213</x:v>
      </x:c>
      <x:c r="E47" s="6" t="str">
        <x:v>24VDC/0V</x:v>
      </x:c>
      <x:c r="F47" s="6" t="str">
        <x:v>Inherited concept; final QET Siemens upgrade open</x:v>
      </x:c>
    </x:row>
    <x:row r="48" ht="27" customHeight="1">
      <x:c r="A48" s="6" t="str">
        <x:v>X101:23</x:v>
      </x:c>
      <x:c r="B48" s="6" t="str">
        <x:v>DO_SPARE_01</x:v>
      </x:c>
      <x:c r="C48" s="6" t="str">
        <x:v>Q1.6</x:v>
      </x:c>
      <x:c r="D48" s="6" t="str">
        <x:v>SPARE</x:v>
      </x:c>
      <x:c r="E48" s="6" t="str">
        <x:v>24VDC/0V</x:v>
      </x:c>
      <x:c r="F48" s="6" t="str">
        <x:v>Inherited concept; final QET Siemens upgrade open</x:v>
      </x:c>
    </x:row>
    <x:row r="49" ht="27" customHeight="1">
      <x:c r="A49" s="6" t="str">
        <x:v>X101:24</x:v>
      </x:c>
      <x:c r="B49" s="6" t="str">
        <x:v>DO_SPARE_02</x:v>
      </x:c>
      <x:c r="C49" s="6" t="str">
        <x:v>Q1.7</x:v>
      </x:c>
      <x:c r="D49" s="6" t="str">
        <x:v>SPARE</x:v>
      </x:c>
      <x:c r="E49" s="6" t="str">
        <x:v>24VDC/0V</x:v>
      </x:c>
      <x:c r="F49" s="6" t="str">
        <x:v>Inherited concept; final QET Siemens upgrade open</x:v>
      </x:c>
    </x:row>
    <x:row r="50" ht="27" customHeight="1">
      <x:c r="A50" s="6" t="str">
        <x:v>X102:1</x:v>
      </x:c>
      <x:c r="B50" s="6" t="str">
        <x:v>DO_SPARE_03</x:v>
      </x:c>
      <x:c r="C50" s="6" t="str">
        <x:v>Q2.0</x:v>
      </x:c>
      <x:c r="D50" s="6" t="str">
        <x:v>SPARE</x:v>
      </x:c>
      <x:c r="E50" s="6" t="str">
        <x:v>24VDC/0V</x:v>
      </x:c>
      <x:c r="F50" s="6" t="str">
        <x:v>Inherited concept; final QET Siemens upgrade open</x:v>
      </x:c>
    </x:row>
    <x:row r="51" ht="27" customHeight="1">
      <x:c r="A51" s="6" t="str">
        <x:v>X102:2</x:v>
      </x:c>
      <x:c r="B51" s="6" t="str">
        <x:v>DO_SPARE_04</x:v>
      </x:c>
      <x:c r="C51" s="6" t="str">
        <x:v>Q2.1</x:v>
      </x:c>
      <x:c r="D51" s="6" t="str">
        <x:v>SPARE</x:v>
      </x:c>
      <x:c r="E51" s="6" t="str">
        <x:v>24VDC/0V</x:v>
      </x:c>
      <x:c r="F51" s="6" t="str">
        <x:v>Inherited concept; final QET Siemens upgrade open</x:v>
      </x:c>
    </x:row>
    <x:row r="52" ht="27" customHeight="1">
      <x:c r="A52" s="6" t="str">
        <x:v>X102:3</x:v>
      </x:c>
      <x:c r="B52" s="6" t="str">
        <x:v>DO_SPARE_05</x:v>
      </x:c>
      <x:c r="C52" s="6" t="str">
        <x:v>Q2.2</x:v>
      </x:c>
      <x:c r="D52" s="6" t="str">
        <x:v>SPARE</x:v>
      </x:c>
      <x:c r="E52" s="6" t="str">
        <x:v>24VDC/0V</x:v>
      </x:c>
      <x:c r="F52" s="6" t="str">
        <x:v>Inherited concept; final QET Siemens upgrade open</x:v>
      </x:c>
    </x:row>
    <x:row r="53" ht="27" customHeight="1">
      <x:c r="A53" s="6" t="str">
        <x:v>X102:4</x:v>
      </x:c>
      <x:c r="B53" s="6" t="str">
        <x:v>DO_SPARE_06</x:v>
      </x:c>
      <x:c r="C53" s="6" t="str">
        <x:v>Q2.3</x:v>
      </x:c>
      <x:c r="D53" s="6" t="str">
        <x:v>SPARE</x:v>
      </x:c>
      <x:c r="E53" s="6" t="str">
        <x:v>24VDC/0V</x:v>
      </x:c>
      <x:c r="F53" s="6" t="str">
        <x:v>Inherited concept; final QET Siemens upgrade open</x:v>
      </x:c>
    </x:row>
    <x:row r="54" ht="27" customHeight="1">
      <x:c r="A54" s="6" t="str">
        <x:v>X102:5</x:v>
      </x:c>
      <x:c r="B54" s="6" t="str">
        <x:v>DO_SPARE_07</x:v>
      </x:c>
      <x:c r="C54" s="6" t="str">
        <x:v>Q2.4</x:v>
      </x:c>
      <x:c r="D54" s="6" t="str">
        <x:v>SPARE</x:v>
      </x:c>
      <x:c r="E54" s="6" t="str">
        <x:v>24VDC/0V</x:v>
      </x:c>
      <x:c r="F54" s="6" t="str">
        <x:v>Inherited concept; final QET Siemens upgrade open</x:v>
      </x:c>
    </x:row>
    <x:row r="55" ht="27" customHeight="1">
      <x:c r="A55" s="6" t="str">
        <x:v>X102:6</x:v>
      </x:c>
      <x:c r="B55" s="6" t="str">
        <x:v>DO_SPARE_08</x:v>
      </x:c>
      <x:c r="C55" s="6" t="str">
        <x:v>Q2.5</x:v>
      </x:c>
      <x:c r="D55" s="6" t="str">
        <x:v>SPARE</x:v>
      </x:c>
      <x:c r="E55" s="6" t="str">
        <x:v>24VDC/0V</x:v>
      </x:c>
      <x:c r="F55" s="6" t="str">
        <x:v>Inherited concept; final QET Siemens upgrade open</x:v>
      </x:c>
    </x:row>
    <x:row r="56" ht="27" customHeight="1">
      <x:c r="A56" s="6" t="str">
        <x:v>X102:7</x:v>
      </x:c>
      <x:c r="B56" s="6" t="str">
        <x:v>DO_SPARE_09</x:v>
      </x:c>
      <x:c r="C56" s="6" t="str">
        <x:v>Q2.6</x:v>
      </x:c>
      <x:c r="D56" s="6" t="str">
        <x:v>SPARE</x:v>
      </x:c>
      <x:c r="E56" s="6" t="str">
        <x:v>24VDC/0V</x:v>
      </x:c>
      <x:c r="F56" s="6" t="str">
        <x:v>Inherited concept; final QET Siemens upgrade open</x:v>
      </x:c>
    </x:row>
    <x:row r="57" ht="27" customHeight="1">
      <x:c r="A57" s="6" t="str">
        <x:v>X102:8</x:v>
      </x:c>
      <x:c r="B57" s="6" t="str">
        <x:v>DO_SPARE_10</x:v>
      </x:c>
      <x:c r="C57" s="6" t="str">
        <x:v>Q2.7</x:v>
      </x:c>
      <x:c r="D57" s="6" t="str">
        <x:v>SPARE</x:v>
      </x:c>
      <x:c r="E57" s="6" t="str">
        <x:v>24VDC/0V</x:v>
      </x:c>
      <x:c r="F57" s="6" t="str">
        <x:v>Inherited concept; final QET Siemens upgrade open</x:v>
      </x:c>
    </x:row>
    <x:row r="58" ht="27" customHeight="1">
      <x:c r="A58" s="6" t="str">
        <x:v>X102:9</x:v>
      </x:c>
      <x:c r="B58" s="6" t="str">
        <x:v>DO_SPARE_11</x:v>
      </x:c>
      <x:c r="C58" s="6" t="str">
        <x:v>Q3.0</x:v>
      </x:c>
      <x:c r="D58" s="6" t="str">
        <x:v>SPARE</x:v>
      </x:c>
      <x:c r="E58" s="6" t="str">
        <x:v>24VDC/0V</x:v>
      </x:c>
      <x:c r="F58" s="6" t="str">
        <x:v>Inherited concept; final QET Siemens upgrade open</x:v>
      </x:c>
    </x:row>
    <x:row r="59" ht="27" customHeight="1">
      <x:c r="A59" s="6" t="str">
        <x:v>X102:10</x:v>
      </x:c>
      <x:c r="B59" s="6" t="str">
        <x:v>DO_SPARE_12</x:v>
      </x:c>
      <x:c r="C59" s="6" t="str">
        <x:v>Q3.1</x:v>
      </x:c>
      <x:c r="D59" s="6" t="str">
        <x:v>SPARE</x:v>
      </x:c>
      <x:c r="E59" s="6" t="str">
        <x:v>24VDC/0V</x:v>
      </x:c>
      <x:c r="F59" s="6" t="str">
        <x:v>Inherited concept; final QET Siemens upgrade open</x:v>
      </x:c>
    </x:row>
    <x:row r="60" ht="27" customHeight="1">
      <x:c r="A60" s="6" t="str">
        <x:v>X102:11</x:v>
      </x:c>
      <x:c r="B60" s="6" t="str">
        <x:v>DO_SPARE_13</x:v>
      </x:c>
      <x:c r="C60" s="6" t="str">
        <x:v>Q3.2</x:v>
      </x:c>
      <x:c r="D60" s="6" t="str">
        <x:v>SPARE</x:v>
      </x:c>
      <x:c r="E60" s="6" t="str">
        <x:v>24VDC/0V</x:v>
      </x:c>
      <x:c r="F60" s="6" t="str">
        <x:v>Inherited concept; final QET Siemens upgrade open</x:v>
      </x:c>
    </x:row>
    <x:row r="61" ht="27" customHeight="1">
      <x:c r="A61" s="6" t="str">
        <x:v>X102:12</x:v>
      </x:c>
      <x:c r="B61" s="6" t="str">
        <x:v>DO_SPARE_14</x:v>
      </x:c>
      <x:c r="C61" s="6" t="str">
        <x:v>Q3.3</x:v>
      </x:c>
      <x:c r="D61" s="6" t="str">
        <x:v>SPARE</x:v>
      </x:c>
      <x:c r="E61" s="6" t="str">
        <x:v>24VDC/0V</x:v>
      </x:c>
      <x:c r="F61" s="6" t="str">
        <x:v>Inherited concept; final QET Siemens upgrade open</x:v>
      </x:c>
    </x:row>
    <x:row r="62" ht="27" customHeight="1">
      <x:c r="A62" s="6" t="str">
        <x:v>X102:13</x:v>
      </x:c>
      <x:c r="B62" s="6" t="str">
        <x:v>DO_SPARE_15</x:v>
      </x:c>
      <x:c r="C62" s="6" t="str">
        <x:v>Q3.4</x:v>
      </x:c>
      <x:c r="D62" s="6" t="str">
        <x:v>SPARE</x:v>
      </x:c>
      <x:c r="E62" s="6" t="str">
        <x:v>24VDC/0V</x:v>
      </x:c>
      <x:c r="F62" s="6" t="str">
        <x:v>Inherited concept; final QET Siemens upgrade open</x:v>
      </x:c>
    </x:row>
    <x:row r="63" ht="27" customHeight="1">
      <x:c r="A63" s="6" t="str">
        <x:v>X102:14</x:v>
      </x:c>
      <x:c r="B63" s="6" t="str">
        <x:v>DO_SPARE_16</x:v>
      </x:c>
      <x:c r="C63" s="6" t="str">
        <x:v>Q3.5</x:v>
      </x:c>
      <x:c r="D63" s="6" t="str">
        <x:v>SPARE</x:v>
      </x:c>
      <x:c r="E63" s="6" t="str">
        <x:v>24VDC/0V</x:v>
      </x:c>
      <x:c r="F63" s="6" t="str">
        <x:v>Inherited concept; final QET Siemens upgrade open</x:v>
      </x:c>
    </x:row>
    <x:row r="64" ht="27" customHeight="1">
      <x:c r="A64" s="6" t="str">
        <x:v>X102:15</x:v>
      </x:c>
      <x:c r="B64" s="6" t="str">
        <x:v>DO_SPARE_17</x:v>
      </x:c>
      <x:c r="C64" s="6" t="str">
        <x:v>Q3.6</x:v>
      </x:c>
      <x:c r="D64" s="6" t="str">
        <x:v>SPARE</x:v>
      </x:c>
      <x:c r="E64" s="6" t="str">
        <x:v>24VDC/0V</x:v>
      </x:c>
      <x:c r="F64" s="6" t="str">
        <x:v>Inherited concept; final QET Siemens upgrade open</x:v>
      </x:c>
    </x:row>
    <x:row r="65" ht="27" customHeight="1">
      <x:c r="A65" s="6" t="str">
        <x:v>X102:16</x:v>
      </x:c>
      <x:c r="B65" s="6" t="str">
        <x:v>DO_SPARE_18</x:v>
      </x:c>
      <x:c r="C65" s="6" t="str">
        <x:v>Q3.7</x:v>
      </x:c>
      <x:c r="D65" s="6" t="str">
        <x:v>SPARE</x:v>
      </x:c>
      <x:c r="E65" s="6" t="str">
        <x:v>24VDC/0V</x:v>
      </x:c>
      <x:c r="F65" s="6" t="str">
        <x:v>Inherited concept; final QET Siemens upgrade open</x:v>
      </x:c>
    </x:row>
    <x:row r="66" ht="27" customHeight="1">
      <x:c r="A66" s="6" t="str">
        <x:v>X102:17</x:v>
      </x:c>
      <x:c r="B66" s="6" t="str">
        <x:v>FLOW_1_MA_RAW</x:v>
      </x:c>
      <x:c r="C66" s="6" t="str">
        <x:v>IW64</x:v>
      </x:c>
      <x:c r="D66" s="6" t="str">
        <x:v>-FT100</x:v>
      </x:c>
      <x:c r="E66" s="6" t="str">
        <x:v>4-20mA isolated loop</x:v>
      </x:c>
      <x:c r="F66" s="6" t="str">
        <x:v>Inherited concept; final QET Siemens upgrade open</x:v>
      </x:c>
    </x:row>
    <x:row r="67" ht="27" customHeight="1">
      <x:c r="A67" s="6" t="str">
        <x:v>X102:18</x:v>
      </x:c>
      <x:c r="B67" s="6" t="str">
        <x:v>FLOW_2_MA_RAW</x:v>
      </x:c>
      <x:c r="C67" s="6" t="str">
        <x:v>IW66</x:v>
      </x:c>
      <x:c r="D67" s="6" t="str">
        <x:v>-FT101</x:v>
      </x:c>
      <x:c r="E67" s="6" t="str">
        <x:v>4-20mA isolated loop</x:v>
      </x:c>
      <x:c r="F67" s="6" t="str">
        <x:v>Inherited concept; final QET Siemens upgrade open</x:v>
      </x:c>
    </x:row>
    <x:row r="68" ht="27" customHeight="1">
      <x:c r="A68" s="6" t="str">
        <x:v>X102:19</x:v>
      </x:c>
      <x:c r="B68" s="6" t="str">
        <x:v>AI_SPARE_01</x:v>
      </x:c>
      <x:c r="C68" s="6" t="str">
        <x:v>IW68</x:v>
      </x:c>
      <x:c r="D68" s="6" t="str">
        <x:v>SPARE</x:v>
      </x:c>
      <x:c r="E68" s="6" t="str">
        <x:v>4-20mA isolated loop</x:v>
      </x:c>
      <x:c r="F68" s="6" t="str">
        <x:v>Inherited concept; final QET Siemens upgrade open</x:v>
      </x:c>
    </x:row>
    <x:row r="69" ht="27" customHeight="1">
      <x:c r="A69" s="6" t="str">
        <x:v>X102:20</x:v>
      </x:c>
      <x:c r="B69" s="6" t="str">
        <x:v>AI_SPARE_02</x:v>
      </x:c>
      <x:c r="C69" s="6" t="str">
        <x:v>IW70</x:v>
      </x:c>
      <x:c r="D69" s="6" t="str">
        <x:v>SPARE</x:v>
      </x:c>
      <x:c r="E69" s="6" t="str">
        <x:v>4-20mA isolated loop</x:v>
      </x:c>
      <x:c r="F69" s="6" t="str">
        <x:v>Inherited concept; final QET Siemens upgrade open</x:v>
      </x:c>
    </x:row>
    <x:row r="70" ht="27" customHeight="1">
      <x:c r="A70" s="6" t="str">
        <x:v>X102:21</x:v>
      </x:c>
      <x:c r="B70" s="6" t="str">
        <x:v>AI_SPARE_03</x:v>
      </x:c>
      <x:c r="C70" s="6" t="str">
        <x:v>IW72</x:v>
      </x:c>
      <x:c r="D70" s="6" t="str">
        <x:v>SPARE</x:v>
      </x:c>
      <x:c r="E70" s="6" t="str">
        <x:v>4-20mA isolated loop</x:v>
      </x:c>
      <x:c r="F70" s="6" t="str">
        <x:v>Inherited concept; final QET Siemens upgrade open</x:v>
      </x:c>
    </x:row>
    <x:row r="71" ht="27" customHeight="1">
      <x:c r="A71" s="6" t="str">
        <x:v>X102:22</x:v>
      </x:c>
      <x:c r="B71" s="6" t="str">
        <x:v>AI_SPARE_04</x:v>
      </x:c>
      <x:c r="C71" s="6" t="str">
        <x:v>IW74</x:v>
      </x:c>
      <x:c r="D71" s="6" t="str">
        <x:v>SPARE</x:v>
      </x:c>
      <x:c r="E71" s="6" t="str">
        <x:v>4-20mA isolated loop</x:v>
      </x:c>
      <x:c r="F71" s="6" t="str">
        <x:v>Inherited concept; final QET Siemens upgrade open</x:v>
      </x:c>
    </x:row>
    <x:row r="72" ht="27" customHeight="1">
      <x:c r="A72" s="6" t="str">
        <x:v>X102:23</x:v>
      </x:c>
      <x:c r="B72" s="6" t="str">
        <x:v>AI_SPARE_05</x:v>
      </x:c>
      <x:c r="C72" s="6" t="str">
        <x:v>IW76</x:v>
      </x:c>
      <x:c r="D72" s="6" t="str">
        <x:v>SPARE</x:v>
      </x:c>
      <x:c r="E72" s="6" t="str">
        <x:v>4-20mA isolated loop</x:v>
      </x:c>
      <x:c r="F72" s="6" t="str">
        <x:v>Inherited concept; final QET Siemens upgrade open</x:v>
      </x:c>
    </x:row>
    <x:row r="73" ht="27" customHeight="1">
      <x:c r="A73" s="6" t="str">
        <x:v>X102:24</x:v>
      </x:c>
      <x:c r="B73" s="6" t="str">
        <x:v>AI_SPARE_06</x:v>
      </x:c>
      <x:c r="C73" s="6" t="str">
        <x:v>IW78</x:v>
      </x:c>
      <x:c r="D73" s="6" t="str">
        <x:v>SPARE</x:v>
      </x:c>
      <x:c r="E73" s="6" t="str">
        <x:v>4-20mA isolated loop</x:v>
      </x:c>
      <x:c r="F73" s="6" t="str">
        <x:v>Inherited concept; final QET Siemens upgrade open</x:v>
      </x:c>
    </x:row>
    <x:row r="74" ht="27" customHeight="1">
      <x:c r="A74" s="6" t="str">
        <x:v>X103:1</x:v>
      </x:c>
      <x:c r="B74" s="6" t="str">
        <x:v>FLOW_1_PULSE</x:v>
      </x:c>
      <x:c r="C74" s="6" t="str">
        <x:v>TM1.CH0.A</x:v>
      </x:c>
      <x:c r="D74" s="6" t="str">
        <x:v>-FT100</x:v>
      </x:c>
      <x:c r="E74" s="6" t="str">
        <x:v>24VDC/0V</x:v>
      </x:c>
      <x:c r="F74" s="6" t="str">
        <x:v>Inherited concept; final QET Siemens upgrade open</x:v>
      </x:c>
    </x:row>
    <x:row r="75" ht="27" customHeight="1">
      <x:c r="A75" s="6" t="str">
        <x:v>X103:2</x:v>
      </x:c>
      <x:c r="B75" s="6" t="str">
        <x:v>FLOW_2_PULSE</x:v>
      </x:c>
      <x:c r="C75" s="6" t="str">
        <x:v>TM1.CH1.A</x:v>
      </x:c>
      <x:c r="D75" s="6" t="str">
        <x:v>-FT101</x:v>
      </x:c>
      <x:c r="E75" s="6" t="str">
        <x:v>24VDC/0V</x:v>
      </x:c>
      <x:c r="F75" s="6" t="str">
        <x:v>Inherited concept; final QET Siemens upgrade open</x:v>
      </x:c>
    </x:row>
  </x:sheetData>
  <x:pageMargins left="0.7" right="0.7" top="0.75" bottom="0.75" header="0.3" footer="0.3"/>
  <x:tableParts count="1">
    <x:tablePart xmlns:r="http://schemas.openxmlformats.org/officeDocument/2006/relationships" r:id="R513c694f01854d2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</x:cols>
  <x:sheetData>
    <x:row r="1" ht="31.5" customHeight="1">
      <x:c r="A1" s="12" t="str">
        <x:v>cable_id</x:v>
      </x:c>
      <x:c r="B1" s="12" t="str">
        <x:v>device</x:v>
      </x:c>
      <x:c r="C1" s="12" t="str">
        <x:v>cores</x:v>
      </x:c>
      <x:c r="D1" s="12" t="str">
        <x:v>type</x:v>
      </x:c>
      <x:c r="E1" s="12" t="str">
        <x:v>termination</x:v>
      </x:c>
      <x:c r="F1" s="12" t="str">
        <x:v>status</x:v>
      </x:c>
    </x:row>
    <x:row r="2" ht="27" customHeight="1">
      <x:c r="A2" s="6" t="str">
        <x:v>W201</x:v>
      </x:c>
      <x:c r="B2" s="6" t="str">
        <x:v>-B100</x:v>
      </x:c>
      <x:c r="C2" s="6" t="str">
        <x:v>4</x:v>
      </x:c>
      <x:c r="D2" s="6" t="str">
        <x:v>Industrial control</x:v>
      </x:c>
      <x:c r="E2" s="6" t="str">
        <x:v>Both ends identified; analog shield at panel PE/shield clamp</x:v>
      </x:c>
      <x:c r="F2" s="6" t="str">
        <x:v>Preliminary</x:v>
      </x:c>
    </x:row>
    <x:row r="3" ht="27" customHeight="1">
      <x:c r="A3" s="6" t="str">
        <x:v>W202</x:v>
      </x:c>
      <x:c r="B3" s="6" t="str">
        <x:v>-B101</x:v>
      </x:c>
      <x:c r="C3" s="6" t="str">
        <x:v>4</x:v>
      </x:c>
      <x:c r="D3" s="6" t="str">
        <x:v>Industrial control</x:v>
      </x:c>
      <x:c r="E3" s="6" t="str">
        <x:v>Both ends identified; analog shield at panel PE/shield clamp</x:v>
      </x:c>
      <x:c r="F3" s="6" t="str">
        <x:v>Preliminary</x:v>
      </x:c>
    </x:row>
    <x:row r="4" ht="27" customHeight="1">
      <x:c r="A4" s="6" t="str">
        <x:v>W203</x:v>
      </x:c>
      <x:c r="B4" s="6" t="str">
        <x:v>-B110</x:v>
      </x:c>
      <x:c r="C4" s="6" t="str">
        <x:v>4</x:v>
      </x:c>
      <x:c r="D4" s="6" t="str">
        <x:v>Industrial control</x:v>
      </x:c>
      <x:c r="E4" s="6" t="str">
        <x:v>Both ends identified; analog shield at panel PE/shield clamp</x:v>
      </x:c>
      <x:c r="F4" s="6" t="str">
        <x:v>Preliminary</x:v>
      </x:c>
    </x:row>
    <x:row r="5" ht="27" customHeight="1">
      <x:c r="A5" s="6" t="str">
        <x:v>W204</x:v>
      </x:c>
      <x:c r="B5" s="6" t="str">
        <x:v>-B111</x:v>
      </x:c>
      <x:c r="C5" s="6" t="str">
        <x:v>4</x:v>
      </x:c>
      <x:c r="D5" s="6" t="str">
        <x:v>Industrial control</x:v>
      </x:c>
      <x:c r="E5" s="6" t="str">
        <x:v>Both ends identified; analog shield at panel PE/shield clamp</x:v>
      </x:c>
      <x:c r="F5" s="6" t="str">
        <x:v>Preliminary</x:v>
      </x:c>
    </x:row>
    <x:row r="6" ht="27" customHeight="1">
      <x:c r="A6" s="6" t="str">
        <x:v>W205</x:v>
      </x:c>
      <x:c r="B6" s="6" t="str">
        <x:v>-B120</x:v>
      </x:c>
      <x:c r="C6" s="6" t="str">
        <x:v>4</x:v>
      </x:c>
      <x:c r="D6" s="6" t="str">
        <x:v>Industrial control</x:v>
      </x:c>
      <x:c r="E6" s="6" t="str">
        <x:v>Both ends identified; analog shield at panel PE/shield clamp</x:v>
      </x:c>
      <x:c r="F6" s="6" t="str">
        <x:v>Preliminary</x:v>
      </x:c>
    </x:row>
    <x:row r="7" ht="27" customHeight="1">
      <x:c r="A7" s="6" t="str">
        <x:v>W206</x:v>
      </x:c>
      <x:c r="B7" s="6" t="str">
        <x:v>-B121</x:v>
      </x:c>
      <x:c r="C7" s="6" t="str">
        <x:v>4</x:v>
      </x:c>
      <x:c r="D7" s="6" t="str">
        <x:v>Industrial control</x:v>
      </x:c>
      <x:c r="E7" s="6" t="str">
        <x:v>Both ends identified; analog shield at panel PE/shield clamp</x:v>
      </x:c>
      <x:c r="F7" s="6" t="str">
        <x:v>Preliminary</x:v>
      </x:c>
    </x:row>
    <x:row r="8" ht="27" customHeight="1">
      <x:c r="A8" s="6" t="str">
        <x:v>W207</x:v>
      </x:c>
      <x:c r="B8" s="6" t="str">
        <x:v>-B122</x:v>
      </x:c>
      <x:c r="C8" s="6" t="str">
        <x:v>4</x:v>
      </x:c>
      <x:c r="D8" s="6" t="str">
        <x:v>Industrial control</x:v>
      </x:c>
      <x:c r="E8" s="6" t="str">
        <x:v>Both ends identified; analog shield at panel PE/shield clamp</x:v>
      </x:c>
      <x:c r="F8" s="6" t="str">
        <x:v>Preliminary</x:v>
      </x:c>
    </x:row>
    <x:row r="9" ht="27" customHeight="1">
      <x:c r="A9" s="6" t="str">
        <x:v>W208</x:v>
      </x:c>
      <x:c r="B9" s="6" t="str">
        <x:v>-B123</x:v>
      </x:c>
      <x:c r="C9" s="6" t="str">
        <x:v>4</x:v>
      </x:c>
      <x:c r="D9" s="6" t="str">
        <x:v>Industrial control</x:v>
      </x:c>
      <x:c r="E9" s="6" t="str">
        <x:v>Both ends identified; analog shield at panel PE/shield clamp</x:v>
      </x:c>
      <x:c r="F9" s="6" t="str">
        <x:v>Preliminary</x:v>
      </x:c>
    </x:row>
    <x:row r="10" ht="27" customHeight="1">
      <x:c r="A10" s="6" t="str">
        <x:v>W209</x:v>
      </x:c>
      <x:c r="B10" s="6" t="str">
        <x:v>-B130</x:v>
      </x:c>
      <x:c r="C10" s="6" t="str">
        <x:v>4</x:v>
      </x:c>
      <x:c r="D10" s="6" t="str">
        <x:v>Industrial control</x:v>
      </x:c>
      <x:c r="E10" s="6" t="str">
        <x:v>Both ends identified; analog shield at panel PE/shield clamp</x:v>
      </x:c>
      <x:c r="F10" s="6" t="str">
        <x:v>Preliminary</x:v>
      </x:c>
    </x:row>
    <x:row r="11" ht="27" customHeight="1">
      <x:c r="A11" s="6" t="str">
        <x:v>W210</x:v>
      </x:c>
      <x:c r="B11" s="6" t="str">
        <x:v>-B131</x:v>
      </x:c>
      <x:c r="C11" s="6" t="str">
        <x:v>4</x:v>
      </x:c>
      <x:c r="D11" s="6" t="str">
        <x:v>Industrial control</x:v>
      </x:c>
      <x:c r="E11" s="6" t="str">
        <x:v>Both ends identified; analog shield at panel PE/shield clamp</x:v>
      </x:c>
      <x:c r="F11" s="6" t="str">
        <x:v>Preliminary</x:v>
      </x:c>
    </x:row>
    <x:row r="12" ht="27" customHeight="1">
      <x:c r="A12" s="6" t="str">
        <x:v>W211</x:v>
      </x:c>
      <x:c r="B12" s="6" t="str">
        <x:v>-FT100</x:v>
      </x:c>
      <x:c r="C12" s="6" t="str">
        <x:v>8</x:v>
      </x:c>
      <x:c r="D12" s="6" t="str">
        <x:v>Shielded instrumentation</x:v>
      </x:c>
      <x:c r="E12" s="6" t="str">
        <x:v>Both ends identified; analog shield at panel PE/shield clamp</x:v>
      </x:c>
      <x:c r="F12" s="6" t="str">
        <x:v>Preliminary</x:v>
      </x:c>
    </x:row>
    <x:row r="13" ht="27" customHeight="1">
      <x:c r="A13" s="6" t="str">
        <x:v>W212</x:v>
      </x:c>
      <x:c r="B13" s="6" t="str">
        <x:v>-FT101</x:v>
      </x:c>
      <x:c r="C13" s="6" t="str">
        <x:v>8</x:v>
      </x:c>
      <x:c r="D13" s="6" t="str">
        <x:v>Shielded instrumentation</x:v>
      </x:c>
      <x:c r="E13" s="6" t="str">
        <x:v>Both ends identified; analog shield at panel PE/shield clamp</x:v>
      </x:c>
      <x:c r="F13" s="6" t="str">
        <x:v>Preliminary</x:v>
      </x:c>
    </x:row>
    <x:row r="14" ht="27" customHeight="1">
      <x:c r="A14" s="6" t="str">
        <x:v>W213</x:v>
      </x:c>
      <x:c r="B14" s="6" t="str">
        <x:v>-IF140</x:v>
      </x:c>
      <x:c r="C14" s="6" t="str">
        <x:v>8</x:v>
      </x:c>
      <x:c r="D14" s="6" t="str">
        <x:v>Industrial control</x:v>
      </x:c>
      <x:c r="E14" s="6" t="str">
        <x:v>Both ends identified; analog shield at panel PE/shield clamp</x:v>
      </x:c>
      <x:c r="F14" s="6" t="str">
        <x:v>Preliminary</x:v>
      </x:c>
    </x:row>
    <x:row r="15" ht="27" customHeight="1">
      <x:c r="A15" s="6" t="str">
        <x:v>W214</x:v>
      </x:c>
      <x:c r="B15" s="6" t="str">
        <x:v>-PC200</x:v>
      </x:c>
      <x:c r="C15" s="6" t="str">
        <x:v>8</x:v>
      </x:c>
      <x:c r="D15" s="6" t="str">
        <x:v>Industrial control</x:v>
      </x:c>
      <x:c r="E15" s="6" t="str">
        <x:v>Both ends identified; analog shield at panel PE/shield clamp</x:v>
      </x:c>
      <x:c r="F15" s="6" t="str">
        <x:v>Preliminary</x:v>
      </x:c>
    </x:row>
    <x:row r="16" ht="27" customHeight="1">
      <x:c r="A16" s="6" t="str">
        <x:v>W215</x:v>
      </x:c>
      <x:c r="B16" s="6" t="str">
        <x:v>-CAM200</x:v>
      </x:c>
      <x:c r="C16" s="6" t="str">
        <x:v>8</x:v>
      </x:c>
      <x:c r="D16" s="6" t="str">
        <x:v>Shielded instrumentation</x:v>
      </x:c>
      <x:c r="E16" s="6" t="str">
        <x:v>Both ends identified; analog shield at panel PE/shield clamp</x:v>
      </x:c>
      <x:c r="F16" s="6" t="str">
        <x:v>Preliminary</x:v>
      </x:c>
    </x:row>
    <x:row r="17" ht="27" customHeight="1">
      <x:c r="A17" s="6" t="str">
        <x:v>W216</x:v>
      </x:c>
      <x:c r="B17" s="6" t="str">
        <x:v>-LT200</x:v>
      </x:c>
      <x:c r="C17" s="6" t="str">
        <x:v>8</x:v>
      </x:c>
      <x:c r="D17" s="6" t="str">
        <x:v>Industrial control</x:v>
      </x:c>
      <x:c r="E17" s="6" t="str">
        <x:v>Both ends identified; analog shield at panel PE/shield clamp</x:v>
      </x:c>
      <x:c r="F17" s="6" t="str">
        <x:v>Preliminary</x:v>
      </x:c>
    </x:row>
  </x:sheetData>
  <x:pageMargins left="0.7" right="0.7" top="0.75" bottom="0.75" header="0.3" footer="0.3"/>
  <x:tableParts count="1">
    <x:tablePart xmlns:r="http://schemas.openxmlformats.org/officeDocument/2006/relationships" r:id="Rbe6086c3b7624ae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wire_no</x:v>
      </x:c>
      <x:c r="B1" s="12" t="str">
        <x:v>from</x:v>
      </x:c>
      <x:c r="C1" s="12" t="str">
        <x:v>to</x:v>
      </x:c>
      <x:c r="D1" s="12" t="str">
        <x:v>symbol</x:v>
      </x:c>
      <x:c r="E1" s="12" t="str">
        <x:v>color</x:v>
      </x:c>
      <x:c r="F1" s="12" t="str">
        <x:v>cross_section_mm2</x:v>
      </x:c>
    </x:row>
    <x:row r="2" ht="27" customHeight="1">
      <x:c r="A2" s="6" t="str">
        <x:v>W0001</x:v>
      </x:c>
      <x:c r="B2" s="6" t="str">
        <x:v>X100:1</x:v>
      </x:c>
      <x:c r="C2" s="6" t="str">
        <x:v>-A102:0</x:v>
      </x:c>
      <x:c r="D2" s="6" t="str">
        <x:v>SAFETY_OK</x:v>
      </x:c>
      <x:c r="E2" s="6" t="str">
        <x:v>BK</x:v>
      </x:c>
      <x:c r="F2" s="6" t="str">
        <x:v>0.75</x:v>
      </x:c>
    </x:row>
    <x:row r="3" ht="27" customHeight="1">
      <x:c r="A3" s="6" t="str">
        <x:v>W0002</x:v>
      </x:c>
      <x:c r="B3" s="6" t="str">
        <x:v>X100:2</x:v>
      </x:c>
      <x:c r="C3" s="6" t="str">
        <x:v>-A102:1</x:v>
      </x:c>
      <x:c r="D3" s="6" t="str">
        <x:v>GUARD_CLOSED_STATUS</x:v>
      </x:c>
      <x:c r="E3" s="6" t="str">
        <x:v>BK</x:v>
      </x:c>
      <x:c r="F3" s="6" t="str">
        <x:v>0.75</x:v>
      </x:c>
    </x:row>
    <x:row r="4" ht="27" customHeight="1">
      <x:c r="A4" s="6" t="str">
        <x:v>W0003</x:v>
      </x:c>
      <x:c r="B4" s="6" t="str">
        <x:v>X100:3</x:v>
      </x:c>
      <x:c r="C4" s="6" t="str">
        <x:v>-A102:2</x:v>
      </x:c>
      <x:c r="D4" s="6" t="str">
        <x:v>AIR_PRESSURE_OK</x:v>
      </x:c>
      <x:c r="E4" s="6" t="str">
        <x:v>BK</x:v>
      </x:c>
      <x:c r="F4" s="6" t="str">
        <x:v>0.75</x:v>
      </x:c>
    </x:row>
    <x:row r="5" ht="27" customHeight="1">
      <x:c r="A5" s="6" t="str">
        <x:v>W0004</x:v>
      </x:c>
      <x:c r="B5" s="6" t="str">
        <x:v>X100:4</x:v>
      </x:c>
      <x:c r="C5" s="6" t="str">
        <x:v>-A102:3</x:v>
      </x:c>
      <x:c r="D5" s="6" t="str">
        <x:v>PRODUCT_SUPPLY_OK</x:v>
      </x:c>
      <x:c r="E5" s="6" t="str">
        <x:v>BK</x:v>
      </x:c>
      <x:c r="F5" s="6" t="str">
        <x:v>0.75</x:v>
      </x:c>
    </x:row>
    <x:row r="6" ht="27" customHeight="1">
      <x:c r="A6" s="6" t="str">
        <x:v>W0005</x:v>
      </x:c>
      <x:c r="B6" s="6" t="str">
        <x:v>X100:5</x:v>
      </x:c>
      <x:c r="C6" s="6" t="str">
        <x:v>-A102:4</x:v>
      </x:c>
      <x:c r="D6" s="6" t="str">
        <x:v>CONVEYOR_READY</x:v>
      </x:c>
      <x:c r="E6" s="6" t="str">
        <x:v>BK</x:v>
      </x:c>
      <x:c r="F6" s="6" t="str">
        <x:v>0.75</x:v>
      </x:c>
    </x:row>
    <x:row r="7" ht="27" customHeight="1">
      <x:c r="A7" s="6" t="str">
        <x:v>W0006</x:v>
      </x:c>
      <x:c r="B7" s="6" t="str">
        <x:v>X100:6</x:v>
      </x:c>
      <x:c r="C7" s="6" t="str">
        <x:v>-A102:5</x:v>
      </x:c>
      <x:c r="D7" s="6" t="str">
        <x:v>CONVEYOR_RUNNING</x:v>
      </x:c>
      <x:c r="E7" s="6" t="str">
        <x:v>BK</x:v>
      </x:c>
      <x:c r="F7" s="6" t="str">
        <x:v>0.75</x:v>
      </x:c>
    </x:row>
    <x:row r="8" ht="27" customHeight="1">
      <x:c r="A8" s="6" t="str">
        <x:v>W0007</x:v>
      </x:c>
      <x:c r="B8" s="6" t="str">
        <x:v>X100:7</x:v>
      </x:c>
      <x:c r="C8" s="6" t="str">
        <x:v>-A102:6</x:v>
      </x:c>
      <x:c r="D8" s="6" t="str">
        <x:v>CONVEYOR_FAULT</x:v>
      </x:c>
      <x:c r="E8" s="6" t="str">
        <x:v>BK</x:v>
      </x:c>
      <x:c r="F8" s="6" t="str">
        <x:v>0.75</x:v>
      </x:c>
    </x:row>
    <x:row r="9" ht="27" customHeight="1">
      <x:c r="A9" s="6" t="str">
        <x:v>W0008</x:v>
      </x:c>
      <x:c r="B9" s="6" t="str">
        <x:v>X100:8</x:v>
      </x:c>
      <x:c r="C9" s="6" t="str">
        <x:v>-A102:7</x:v>
      </x:c>
      <x:c r="D9" s="6" t="str">
        <x:v>PUMP_READY</x:v>
      </x:c>
      <x:c r="E9" s="6" t="str">
        <x:v>BK</x:v>
      </x:c>
      <x:c r="F9" s="6" t="str">
        <x:v>0.75</x:v>
      </x:c>
    </x:row>
    <x:row r="10" ht="27" customHeight="1">
      <x:c r="A10" s="6" t="str">
        <x:v>W0009</x:v>
      </x:c>
      <x:c r="B10" s="6" t="str">
        <x:v>X100:9</x:v>
      </x:c>
      <x:c r="C10" s="6" t="str">
        <x:v>-A102:8</x:v>
      </x:c>
      <x:c r="D10" s="6" t="str">
        <x:v>PUMP_RUNNING</x:v>
      </x:c>
      <x:c r="E10" s="6" t="str">
        <x:v>BK</x:v>
      </x:c>
      <x:c r="F10" s="6" t="str">
        <x:v>0.75</x:v>
      </x:c>
    </x:row>
    <x:row r="11" ht="27" customHeight="1">
      <x:c r="A11" s="6" t="str">
        <x:v>W0010</x:v>
      </x:c>
      <x:c r="B11" s="6" t="str">
        <x:v>X100:10</x:v>
      </x:c>
      <x:c r="C11" s="6" t="str">
        <x:v>-A102:9</x:v>
      </x:c>
      <x:c r="D11" s="6" t="str">
        <x:v>PUMP_FAULT</x:v>
      </x:c>
      <x:c r="E11" s="6" t="str">
        <x:v>BK</x:v>
      </x:c>
      <x:c r="F11" s="6" t="str">
        <x:v>0.75</x:v>
      </x:c>
    </x:row>
    <x:row r="12" ht="27" customHeight="1">
      <x:c r="A12" s="6" t="str">
        <x:v>W0011</x:v>
      </x:c>
      <x:c r="B12" s="6" t="str">
        <x:v>X100:11</x:v>
      </x:c>
      <x:c r="C12" s="6" t="str">
        <x:v>-A102:10</x:v>
      </x:c>
      <x:c r="D12" s="6" t="str">
        <x:v>BOTTLE_AT_NEST_1</x:v>
      </x:c>
      <x:c r="E12" s="6" t="str">
        <x:v>BK</x:v>
      </x:c>
      <x:c r="F12" s="6" t="str">
        <x:v>0.75</x:v>
      </x:c>
    </x:row>
    <x:row r="13" ht="27" customHeight="1">
      <x:c r="A13" s="6" t="str">
        <x:v>W0012</x:v>
      </x:c>
      <x:c r="B13" s="6" t="str">
        <x:v>X100:12</x:v>
      </x:c>
      <x:c r="C13" s="6" t="str">
        <x:v>-A102:11</x:v>
      </x:c>
      <x:c r="D13" s="6" t="str">
        <x:v>BOTTLE_AT_NEST_2</x:v>
      </x:c>
      <x:c r="E13" s="6" t="str">
        <x:v>BK</x:v>
      </x:c>
      <x:c r="F13" s="6" t="str">
        <x:v>0.75</x:v>
      </x:c>
    </x:row>
    <x:row r="14" ht="27" customHeight="1">
      <x:c r="A14" s="6" t="str">
        <x:v>W0013</x:v>
      </x:c>
      <x:c r="B14" s="6" t="str">
        <x:v>X100:13</x:v>
      </x:c>
      <x:c r="C14" s="6" t="str">
        <x:v>-A102:12</x:v>
      </x:c>
      <x:c r="D14" s="6" t="str">
        <x:v>GATE_OPEN_FB</x:v>
      </x:c>
      <x:c r="E14" s="6" t="str">
        <x:v>BK</x:v>
      </x:c>
      <x:c r="F14" s="6" t="str">
        <x:v>0.75</x:v>
      </x:c>
    </x:row>
    <x:row r="15" ht="27" customHeight="1">
      <x:c r="A15" s="6" t="str">
        <x:v>W0014</x:v>
      </x:c>
      <x:c r="B15" s="6" t="str">
        <x:v>X100:14</x:v>
      </x:c>
      <x:c r="C15" s="6" t="str">
        <x:v>-A102:13</x:v>
      </x:c>
      <x:c r="D15" s="6" t="str">
        <x:v>GATE_CLOSED_FB</x:v>
      </x:c>
      <x:c r="E15" s="6" t="str">
        <x:v>BK</x:v>
      </x:c>
      <x:c r="F15" s="6" t="str">
        <x:v>0.75</x:v>
      </x:c>
    </x:row>
    <x:row r="16" ht="27" customHeight="1">
      <x:c r="A16" s="6" t="str">
        <x:v>W0015</x:v>
      </x:c>
      <x:c r="B16" s="6" t="str">
        <x:v>X100:15</x:v>
      </x:c>
      <x:c r="C16" s="6" t="str">
        <x:v>-A102:14</x:v>
      </x:c>
      <x:c r="D16" s="6" t="str">
        <x:v>CLAMP_RELEASED_FB</x:v>
      </x:c>
      <x:c r="E16" s="6" t="str">
        <x:v>BK</x:v>
      </x:c>
      <x:c r="F16" s="6" t="str">
        <x:v>0.75</x:v>
      </x:c>
    </x:row>
    <x:row r="17" ht="27" customHeight="1">
      <x:c r="A17" s="6" t="str">
        <x:v>W0016</x:v>
      </x:c>
      <x:c r="B17" s="6" t="str">
        <x:v>X100:16</x:v>
      </x:c>
      <x:c r="C17" s="6" t="str">
        <x:v>-A102:15</x:v>
      </x:c>
      <x:c r="D17" s="6" t="str">
        <x:v>CLAMP_ENGAGED_FB</x:v>
      </x:c>
      <x:c r="E17" s="6" t="str">
        <x:v>BK</x:v>
      </x:c>
      <x:c r="F17" s="6" t="str">
        <x:v>0.75</x:v>
      </x:c>
    </x:row>
    <x:row r="18" ht="27" customHeight="1">
      <x:c r="A18" s="6" t="str">
        <x:v>W0017</x:v>
      </x:c>
      <x:c r="B18" s="6" t="str">
        <x:v>X100:17</x:v>
      </x:c>
      <x:c r="C18" s="6" t="str">
        <x:v>-A102:16</x:v>
      </x:c>
      <x:c r="D18" s="6" t="str">
        <x:v>FILL_VALVE_1_CLOSED_FB</x:v>
      </x:c>
      <x:c r="E18" s="6" t="str">
        <x:v>BK</x:v>
      </x:c>
      <x:c r="F18" s="6" t="str">
        <x:v>0.75</x:v>
      </x:c>
    </x:row>
    <x:row r="19" ht="27" customHeight="1">
      <x:c r="A19" s="6" t="str">
        <x:v>W0018</x:v>
      </x:c>
      <x:c r="B19" s="6" t="str">
        <x:v>X100:18</x:v>
      </x:c>
      <x:c r="C19" s="6" t="str">
        <x:v>-A102:17</x:v>
      </x:c>
      <x:c r="D19" s="6" t="str">
        <x:v>FILL_VALVE_2_CLOSED_FB</x:v>
      </x:c>
      <x:c r="E19" s="6" t="str">
        <x:v>BK</x:v>
      </x:c>
      <x:c r="F19" s="6" t="str">
        <x:v>0.75</x:v>
      </x:c>
    </x:row>
    <x:row r="20" ht="27" customHeight="1">
      <x:c r="A20" s="6" t="str">
        <x:v>W0019</x:v>
      </x:c>
      <x:c r="B20" s="6" t="str">
        <x:v>X100:19</x:v>
      </x:c>
      <x:c r="C20" s="6" t="str">
        <x:v>-A102:18</x:v>
      </x:c>
      <x:c r="D20" s="6" t="str">
        <x:v>CAPPER_READY</x:v>
      </x:c>
      <x:c r="E20" s="6" t="str">
        <x:v>BK</x:v>
      </x:c>
      <x:c r="F20" s="6" t="str">
        <x:v>0.75</x:v>
      </x:c>
    </x:row>
    <x:row r="21" ht="27" customHeight="1">
      <x:c r="A21" s="6" t="str">
        <x:v>W0020</x:v>
      </x:c>
      <x:c r="B21" s="6" t="str">
        <x:v>X100:20</x:v>
      </x:c>
      <x:c r="C21" s="6" t="str">
        <x:v>-A102:19</x:v>
      </x:c>
      <x:c r="D21" s="6" t="str">
        <x:v>CAPPER_BUSY</x:v>
      </x:c>
      <x:c r="E21" s="6" t="str">
        <x:v>BK</x:v>
      </x:c>
      <x:c r="F21" s="6" t="str">
        <x:v>0.75</x:v>
      </x:c>
    </x:row>
    <x:row r="22" ht="27" customHeight="1">
      <x:c r="A22" s="6" t="str">
        <x:v>W0021</x:v>
      </x:c>
      <x:c r="B22" s="6" t="str">
        <x:v>X100:21</x:v>
      </x:c>
      <x:c r="C22" s="6" t="str">
        <x:v>-A102:20</x:v>
      </x:c>
      <x:c r="D22" s="6" t="str">
        <x:v>CAPPER_COMPLETE</x:v>
      </x:c>
      <x:c r="E22" s="6" t="str">
        <x:v>BK</x:v>
      </x:c>
      <x:c r="F22" s="6" t="str">
        <x:v>0.75</x:v>
      </x:c>
    </x:row>
    <x:row r="23" ht="27" customHeight="1">
      <x:c r="A23" s="6" t="str">
        <x:v>W0022</x:v>
      </x:c>
      <x:c r="B23" s="6" t="str">
        <x:v>X100:22</x:v>
      </x:c>
      <x:c r="C23" s="6" t="str">
        <x:v>-A102:21</x:v>
      </x:c>
      <x:c r="D23" s="6" t="str">
        <x:v>CAPPER_FAULT</x:v>
      </x:c>
      <x:c r="E23" s="6" t="str">
        <x:v>BK</x:v>
      </x:c>
      <x:c r="F23" s="6" t="str">
        <x:v>0.75</x:v>
      </x:c>
    </x:row>
    <x:row r="24" ht="27" customHeight="1">
      <x:c r="A24" s="6" t="str">
        <x:v>W0023</x:v>
      </x:c>
      <x:c r="B24" s="6" t="str">
        <x:v>X100:23</x:v>
      </x:c>
      <x:c r="C24" s="6" t="str">
        <x:v>-A102:22</x:v>
      </x:c>
      <x:c r="D24" s="6" t="str">
        <x:v>LOCAL_RESET_PB</x:v>
      </x:c>
      <x:c r="E24" s="6" t="str">
        <x:v>BK</x:v>
      </x:c>
      <x:c r="F24" s="6" t="str">
        <x:v>0.75</x:v>
      </x:c>
    </x:row>
    <x:row r="25" ht="27" customHeight="1">
      <x:c r="A25" s="6" t="str">
        <x:v>W0024</x:v>
      </x:c>
      <x:c r="B25" s="6" t="str">
        <x:v>X100:24</x:v>
      </x:c>
      <x:c r="C25" s="6" t="str">
        <x:v>-A102:23</x:v>
      </x:c>
      <x:c r="D25" s="6" t="str">
        <x:v>LOCAL_STOP_PB</x:v>
      </x:c>
      <x:c r="E25" s="6" t="str">
        <x:v>BK</x:v>
      </x:c>
      <x:c r="F25" s="6" t="str">
        <x:v>0.75</x:v>
      </x:c>
    </x:row>
    <x:row r="26" ht="27" customHeight="1">
      <x:c r="A26" s="6" t="str">
        <x:v>W0025</x:v>
      </x:c>
      <x:c r="B26" s="6" t="str">
        <x:v>X101:1</x:v>
      </x:c>
      <x:c r="C26" s="6" t="str">
        <x:v>-A102:24</x:v>
      </x:c>
      <x:c r="D26" s="6" t="str">
        <x:v>DI_SPARE_01</x:v>
      </x:c>
      <x:c r="E26" s="6" t="str">
        <x:v>BK</x:v>
      </x:c>
      <x:c r="F26" s="6" t="str">
        <x:v>0.75</x:v>
      </x:c>
    </x:row>
    <x:row r="27" ht="27" customHeight="1">
      <x:c r="A27" s="6" t="str">
        <x:v>W0026</x:v>
      </x:c>
      <x:c r="B27" s="6" t="str">
        <x:v>X101:2</x:v>
      </x:c>
      <x:c r="C27" s="6" t="str">
        <x:v>-A102:25</x:v>
      </x:c>
      <x:c r="D27" s="6" t="str">
        <x:v>DI_SPARE_02</x:v>
      </x:c>
      <x:c r="E27" s="6" t="str">
        <x:v>BK</x:v>
      </x:c>
      <x:c r="F27" s="6" t="str">
        <x:v>0.75</x:v>
      </x:c>
    </x:row>
    <x:row r="28" ht="27" customHeight="1">
      <x:c r="A28" s="6" t="str">
        <x:v>W0027</x:v>
      </x:c>
      <x:c r="B28" s="6" t="str">
        <x:v>X101:3</x:v>
      </x:c>
      <x:c r="C28" s="6" t="str">
        <x:v>-A102:26</x:v>
      </x:c>
      <x:c r="D28" s="6" t="str">
        <x:v>DI_SPARE_03</x:v>
      </x:c>
      <x:c r="E28" s="6" t="str">
        <x:v>BK</x:v>
      </x:c>
      <x:c r="F28" s="6" t="str">
        <x:v>0.75</x:v>
      </x:c>
    </x:row>
    <x:row r="29" ht="27" customHeight="1">
      <x:c r="A29" s="6" t="str">
        <x:v>W0028</x:v>
      </x:c>
      <x:c r="B29" s="6" t="str">
        <x:v>X101:4</x:v>
      </x:c>
      <x:c r="C29" s="6" t="str">
        <x:v>-A102:27</x:v>
      </x:c>
      <x:c r="D29" s="6" t="str">
        <x:v>DI_SPARE_04</x:v>
      </x:c>
      <x:c r="E29" s="6" t="str">
        <x:v>BK</x:v>
      </x:c>
      <x:c r="F29" s="6" t="str">
        <x:v>0.75</x:v>
      </x:c>
    </x:row>
    <x:row r="30" ht="27" customHeight="1">
      <x:c r="A30" s="6" t="str">
        <x:v>W0029</x:v>
      </x:c>
      <x:c r="B30" s="6" t="str">
        <x:v>X101:5</x:v>
      </x:c>
      <x:c r="C30" s="6" t="str">
        <x:v>-A102:28</x:v>
      </x:c>
      <x:c r="D30" s="6" t="str">
        <x:v>DI_SPARE_05</x:v>
      </x:c>
      <x:c r="E30" s="6" t="str">
        <x:v>BK</x:v>
      </x:c>
      <x:c r="F30" s="6" t="str">
        <x:v>0.75</x:v>
      </x:c>
    </x:row>
    <x:row r="31" ht="27" customHeight="1">
      <x:c r="A31" s="6" t="str">
        <x:v>W0030</x:v>
      </x:c>
      <x:c r="B31" s="6" t="str">
        <x:v>X101:6</x:v>
      </x:c>
      <x:c r="C31" s="6" t="str">
        <x:v>-A102:29</x:v>
      </x:c>
      <x:c r="D31" s="6" t="str">
        <x:v>DI_SPARE_06</x:v>
      </x:c>
      <x:c r="E31" s="6" t="str">
        <x:v>BK</x:v>
      </x:c>
      <x:c r="F31" s="6" t="str">
        <x:v>0.75</x:v>
      </x:c>
    </x:row>
    <x:row r="32" ht="27" customHeight="1">
      <x:c r="A32" s="6" t="str">
        <x:v>W0031</x:v>
      </x:c>
      <x:c r="B32" s="6" t="str">
        <x:v>X101:7</x:v>
      </x:c>
      <x:c r="C32" s="6" t="str">
        <x:v>-A102:30</x:v>
      </x:c>
      <x:c r="D32" s="6" t="str">
        <x:v>DI_SPARE_07</x:v>
      </x:c>
      <x:c r="E32" s="6" t="str">
        <x:v>BK</x:v>
      </x:c>
      <x:c r="F32" s="6" t="str">
        <x:v>0.75</x:v>
      </x:c>
    </x:row>
    <x:row r="33" ht="27" customHeight="1">
      <x:c r="A33" s="6" t="str">
        <x:v>W0032</x:v>
      </x:c>
      <x:c r="B33" s="6" t="str">
        <x:v>X101:8</x:v>
      </x:c>
      <x:c r="C33" s="6" t="str">
        <x:v>-A102:31</x:v>
      </x:c>
      <x:c r="D33" s="6" t="str">
        <x:v>DI_SPARE_08</x:v>
      </x:c>
      <x:c r="E33" s="6" t="str">
        <x:v>BK</x:v>
      </x:c>
      <x:c r="F33" s="6" t="str">
        <x:v>0.75</x:v>
      </x:c>
    </x:row>
    <x:row r="34" ht="27" customHeight="1">
      <x:c r="A34" s="6" t="str">
        <x:v>W0033</x:v>
      </x:c>
      <x:c r="B34" s="6" t="str">
        <x:v>X101:9</x:v>
      </x:c>
      <x:c r="C34" s="6" t="str">
        <x:v>-A103:0</x:v>
      </x:c>
      <x:c r="D34" s="6" t="str">
        <x:v>CONVEYOR_RUN_CMD</x:v>
      </x:c>
      <x:c r="E34" s="6" t="str">
        <x:v>BK</x:v>
      </x:c>
      <x:c r="F34" s="6" t="str">
        <x:v>0.75</x:v>
      </x:c>
    </x:row>
    <x:row r="35" ht="27" customHeight="1">
      <x:c r="A35" s="6" t="str">
        <x:v>W0034</x:v>
      </x:c>
      <x:c r="B35" s="6" t="str">
        <x:v>X101:10</x:v>
      </x:c>
      <x:c r="C35" s="6" t="str">
        <x:v>-A103:1</x:v>
      </x:c>
      <x:c r="D35" s="6" t="str">
        <x:v>PUMP_RUN_CMD</x:v>
      </x:c>
      <x:c r="E35" s="6" t="str">
        <x:v>BK</x:v>
      </x:c>
      <x:c r="F35" s="6" t="str">
        <x:v>0.75</x:v>
      </x:c>
    </x:row>
    <x:row r="36" ht="27" customHeight="1">
      <x:c r="A36" s="6" t="str">
        <x:v>W0035</x:v>
      </x:c>
      <x:c r="B36" s="6" t="str">
        <x:v>X101:11</x:v>
      </x:c>
      <x:c r="C36" s="6" t="str">
        <x:v>-A103:2</x:v>
      </x:c>
      <x:c r="D36" s="6" t="str">
        <x:v>FILL_VALVE_1_OPEN_CMD</x:v>
      </x:c>
      <x:c r="E36" s="6" t="str">
        <x:v>BK</x:v>
      </x:c>
      <x:c r="F36" s="6" t="str">
        <x:v>0.75</x:v>
      </x:c>
    </x:row>
    <x:row r="37" ht="27" customHeight="1">
      <x:c r="A37" s="6" t="str">
        <x:v>W0036</x:v>
      </x:c>
      <x:c r="B37" s="6" t="str">
        <x:v>X101:12</x:v>
      </x:c>
      <x:c r="C37" s="6" t="str">
        <x:v>-A103:3</x:v>
      </x:c>
      <x:c r="D37" s="6" t="str">
        <x:v>FILL_VALVE_2_OPEN_CMD</x:v>
      </x:c>
      <x:c r="E37" s="6" t="str">
        <x:v>BK</x:v>
      </x:c>
      <x:c r="F37" s="6" t="str">
        <x:v>0.75</x:v>
      </x:c>
    </x:row>
    <x:row r="38" ht="27" customHeight="1">
      <x:c r="A38" s="6" t="str">
        <x:v>W0037</x:v>
      </x:c>
      <x:c r="B38" s="6" t="str">
        <x:v>X101:13</x:v>
      </x:c>
      <x:c r="C38" s="6" t="str">
        <x:v>-A103:4</x:v>
      </x:c>
      <x:c r="D38" s="6" t="str">
        <x:v>GATE_OPEN_CMD</x:v>
      </x:c>
      <x:c r="E38" s="6" t="str">
        <x:v>BK</x:v>
      </x:c>
      <x:c r="F38" s="6" t="str">
        <x:v>0.75</x:v>
      </x:c>
    </x:row>
    <x:row r="39" ht="27" customHeight="1">
      <x:c r="A39" s="6" t="str">
        <x:v>W0038</x:v>
      </x:c>
      <x:c r="B39" s="6" t="str">
        <x:v>X101:14</x:v>
      </x:c>
      <x:c r="C39" s="6" t="str">
        <x:v>-A103:5</x:v>
      </x:c>
      <x:c r="D39" s="6" t="str">
        <x:v>GATE_CLOSE_CMD</x:v>
      </x:c>
      <x:c r="E39" s="6" t="str">
        <x:v>BK</x:v>
      </x:c>
      <x:c r="F39" s="6" t="str">
        <x:v>0.75</x:v>
      </x:c>
    </x:row>
    <x:row r="40" ht="27" customHeight="1">
      <x:c r="A40" s="6" t="str">
        <x:v>W0039</x:v>
      </x:c>
      <x:c r="B40" s="6" t="str">
        <x:v>X101:15</x:v>
      </x:c>
      <x:c r="C40" s="6" t="str">
        <x:v>-A103:6</x:v>
      </x:c>
      <x:c r="D40" s="6" t="str">
        <x:v>CLAMP_ENGAGE_CMD</x:v>
      </x:c>
      <x:c r="E40" s="6" t="str">
        <x:v>BK</x:v>
      </x:c>
      <x:c r="F40" s="6" t="str">
        <x:v>0.75</x:v>
      </x:c>
    </x:row>
    <x:row r="41" ht="27" customHeight="1">
      <x:c r="A41" s="6" t="str">
        <x:v>W0040</x:v>
      </x:c>
      <x:c r="B41" s="6" t="str">
        <x:v>X101:16</x:v>
      </x:c>
      <x:c r="C41" s="6" t="str">
        <x:v>-A103:7</x:v>
      </x:c>
      <x:c r="D41" s="6" t="str">
        <x:v>CLAMP_RELEASE_CMD</x:v>
      </x:c>
      <x:c r="E41" s="6" t="str">
        <x:v>BK</x:v>
      </x:c>
      <x:c r="F41" s="6" t="str">
        <x:v>0.75</x:v>
      </x:c>
    </x:row>
    <x:row r="42" ht="27" customHeight="1">
      <x:c r="A42" s="6" t="str">
        <x:v>W0041</x:v>
      </x:c>
      <x:c r="B42" s="6" t="str">
        <x:v>X101:17</x:v>
      </x:c>
      <x:c r="C42" s="6" t="str">
        <x:v>-A103:8</x:v>
      </x:c>
      <x:c r="D42" s="6" t="str">
        <x:v>CAPPER_REQUEST</x:v>
      </x:c>
      <x:c r="E42" s="6" t="str">
        <x:v>BK</x:v>
      </x:c>
      <x:c r="F42" s="6" t="str">
        <x:v>0.75</x:v>
      </x:c>
    </x:row>
    <x:row r="43" ht="27" customHeight="1">
      <x:c r="A43" s="6" t="str">
        <x:v>W0042</x:v>
      </x:c>
      <x:c r="B43" s="6" t="str">
        <x:v>X101:18</x:v>
      </x:c>
      <x:c r="C43" s="6" t="str">
        <x:v>-A103:9</x:v>
      </x:c>
      <x:c r="D43" s="6" t="str">
        <x:v>STACK_GREEN</x:v>
      </x:c>
      <x:c r="E43" s="6" t="str">
        <x:v>BK</x:v>
      </x:c>
      <x:c r="F43" s="6" t="str">
        <x:v>0.75</x:v>
      </x:c>
    </x:row>
    <x:row r="44" ht="27" customHeight="1">
      <x:c r="A44" s="6" t="str">
        <x:v>W0043</x:v>
      </x:c>
      <x:c r="B44" s="6" t="str">
        <x:v>X101:19</x:v>
      </x:c>
      <x:c r="C44" s="6" t="str">
        <x:v>-A103:10</x:v>
      </x:c>
      <x:c r="D44" s="6" t="str">
        <x:v>STACK_AMBER</x:v>
      </x:c>
      <x:c r="E44" s="6" t="str">
        <x:v>BK</x:v>
      </x:c>
      <x:c r="F44" s="6" t="str">
        <x:v>0.75</x:v>
      </x:c>
    </x:row>
    <x:row r="45" ht="27" customHeight="1">
      <x:c r="A45" s="6" t="str">
        <x:v>W0044</x:v>
      </x:c>
      <x:c r="B45" s="6" t="str">
        <x:v>X101:20</x:v>
      </x:c>
      <x:c r="C45" s="6" t="str">
        <x:v>-A103:11</x:v>
      </x:c>
      <x:c r="D45" s="6" t="str">
        <x:v>STACK_RED</x:v>
      </x:c>
      <x:c r="E45" s="6" t="str">
        <x:v>BK</x:v>
      </x:c>
      <x:c r="F45" s="6" t="str">
        <x:v>0.75</x:v>
      </x:c>
    </x:row>
    <x:row r="46" ht="27" customHeight="1">
      <x:c r="A46" s="6" t="str">
        <x:v>W0045</x:v>
      </x:c>
      <x:c r="B46" s="6" t="str">
        <x:v>X101:21</x:v>
      </x:c>
      <x:c r="C46" s="6" t="str">
        <x:v>-A103:12</x:v>
      </x:c>
      <x:c r="D46" s="6" t="str">
        <x:v>AUDIBLE_ALARM</x:v>
      </x:c>
      <x:c r="E46" s="6" t="str">
        <x:v>BK</x:v>
      </x:c>
      <x:c r="F46" s="6" t="str">
        <x:v>0.75</x:v>
      </x:c>
    </x:row>
    <x:row r="47" ht="27" customHeight="1">
      <x:c r="A47" s="6" t="str">
        <x:v>W0046</x:v>
      </x:c>
      <x:c r="B47" s="6" t="str">
        <x:v>X101:22</x:v>
      </x:c>
      <x:c r="C47" s="6" t="str">
        <x:v>-A103:13</x:v>
      </x:c>
      <x:c r="D47" s="6" t="str">
        <x:v>CAMERA_LIGHT_ENABLE</x:v>
      </x:c>
      <x:c r="E47" s="6" t="str">
        <x:v>BK</x:v>
      </x:c>
      <x:c r="F47" s="6" t="str">
        <x:v>0.75</x:v>
      </x:c>
    </x:row>
    <x:row r="48" ht="27" customHeight="1">
      <x:c r="A48" s="6" t="str">
        <x:v>W0047</x:v>
      </x:c>
      <x:c r="B48" s="6" t="str">
        <x:v>X101:23</x:v>
      </x:c>
      <x:c r="C48" s="6" t="str">
        <x:v>-A103:14</x:v>
      </x:c>
      <x:c r="D48" s="6" t="str">
        <x:v>DO_SPARE_01</x:v>
      </x:c>
      <x:c r="E48" s="6" t="str">
        <x:v>BK</x:v>
      </x:c>
      <x:c r="F48" s="6" t="str">
        <x:v>0.75</x:v>
      </x:c>
    </x:row>
    <x:row r="49" ht="27" customHeight="1">
      <x:c r="A49" s="6" t="str">
        <x:v>W0048</x:v>
      </x:c>
      <x:c r="B49" s="6" t="str">
        <x:v>X101:24</x:v>
      </x:c>
      <x:c r="C49" s="6" t="str">
        <x:v>-A103:15</x:v>
      </x:c>
      <x:c r="D49" s="6" t="str">
        <x:v>DO_SPARE_02</x:v>
      </x:c>
      <x:c r="E49" s="6" t="str">
        <x:v>BK</x:v>
      </x:c>
      <x:c r="F49" s="6" t="str">
        <x:v>0.75</x:v>
      </x:c>
    </x:row>
    <x:row r="50" ht="27" customHeight="1">
      <x:c r="A50" s="6" t="str">
        <x:v>W0049</x:v>
      </x:c>
      <x:c r="B50" s="6" t="str">
        <x:v>X102:1</x:v>
      </x:c>
      <x:c r="C50" s="6" t="str">
        <x:v>-A103:16</x:v>
      </x:c>
      <x:c r="D50" s="6" t="str">
        <x:v>DO_SPARE_03</x:v>
      </x:c>
      <x:c r="E50" s="6" t="str">
        <x:v>BK</x:v>
      </x:c>
      <x:c r="F50" s="6" t="str">
        <x:v>0.75</x:v>
      </x:c>
    </x:row>
    <x:row r="51" ht="27" customHeight="1">
      <x:c r="A51" s="6" t="str">
        <x:v>W0050</x:v>
      </x:c>
      <x:c r="B51" s="6" t="str">
        <x:v>X102:2</x:v>
      </x:c>
      <x:c r="C51" s="6" t="str">
        <x:v>-A103:17</x:v>
      </x:c>
      <x:c r="D51" s="6" t="str">
        <x:v>DO_SPARE_04</x:v>
      </x:c>
      <x:c r="E51" s="6" t="str">
        <x:v>BK</x:v>
      </x:c>
      <x:c r="F51" s="6" t="str">
        <x:v>0.75</x:v>
      </x:c>
    </x:row>
    <x:row r="52" ht="27" customHeight="1">
      <x:c r="A52" s="6" t="str">
        <x:v>W0051</x:v>
      </x:c>
      <x:c r="B52" s="6" t="str">
        <x:v>X102:3</x:v>
      </x:c>
      <x:c r="C52" s="6" t="str">
        <x:v>-A103:18</x:v>
      </x:c>
      <x:c r="D52" s="6" t="str">
        <x:v>DO_SPARE_05</x:v>
      </x:c>
      <x:c r="E52" s="6" t="str">
        <x:v>BK</x:v>
      </x:c>
      <x:c r="F52" s="6" t="str">
        <x:v>0.75</x:v>
      </x:c>
    </x:row>
    <x:row r="53" ht="27" customHeight="1">
      <x:c r="A53" s="6" t="str">
        <x:v>W0052</x:v>
      </x:c>
      <x:c r="B53" s="6" t="str">
        <x:v>X102:4</x:v>
      </x:c>
      <x:c r="C53" s="6" t="str">
        <x:v>-A103:19</x:v>
      </x:c>
      <x:c r="D53" s="6" t="str">
        <x:v>DO_SPARE_06</x:v>
      </x:c>
      <x:c r="E53" s="6" t="str">
        <x:v>BK</x:v>
      </x:c>
      <x:c r="F53" s="6" t="str">
        <x:v>0.75</x:v>
      </x:c>
    </x:row>
    <x:row r="54" ht="27" customHeight="1">
      <x:c r="A54" s="6" t="str">
        <x:v>W0053</x:v>
      </x:c>
      <x:c r="B54" s="6" t="str">
        <x:v>X102:5</x:v>
      </x:c>
      <x:c r="C54" s="6" t="str">
        <x:v>-A103:20</x:v>
      </x:c>
      <x:c r="D54" s="6" t="str">
        <x:v>DO_SPARE_07</x:v>
      </x:c>
      <x:c r="E54" s="6" t="str">
        <x:v>BK</x:v>
      </x:c>
      <x:c r="F54" s="6" t="str">
        <x:v>0.75</x:v>
      </x:c>
    </x:row>
    <x:row r="55" ht="27" customHeight="1">
      <x:c r="A55" s="6" t="str">
        <x:v>W0054</x:v>
      </x:c>
      <x:c r="B55" s="6" t="str">
        <x:v>X102:6</x:v>
      </x:c>
      <x:c r="C55" s="6" t="str">
        <x:v>-A103:21</x:v>
      </x:c>
      <x:c r="D55" s="6" t="str">
        <x:v>DO_SPARE_08</x:v>
      </x:c>
      <x:c r="E55" s="6" t="str">
        <x:v>BK</x:v>
      </x:c>
      <x:c r="F55" s="6" t="str">
        <x:v>0.75</x:v>
      </x:c>
    </x:row>
    <x:row r="56" ht="27" customHeight="1">
      <x:c r="A56" s="6" t="str">
        <x:v>W0055</x:v>
      </x:c>
      <x:c r="B56" s="6" t="str">
        <x:v>X102:7</x:v>
      </x:c>
      <x:c r="C56" s="6" t="str">
        <x:v>-A103:22</x:v>
      </x:c>
      <x:c r="D56" s="6" t="str">
        <x:v>DO_SPARE_09</x:v>
      </x:c>
      <x:c r="E56" s="6" t="str">
        <x:v>BK</x:v>
      </x:c>
      <x:c r="F56" s="6" t="str">
        <x:v>0.75</x:v>
      </x:c>
    </x:row>
    <x:row r="57" ht="27" customHeight="1">
      <x:c r="A57" s="6" t="str">
        <x:v>W0056</x:v>
      </x:c>
      <x:c r="B57" s="6" t="str">
        <x:v>X102:8</x:v>
      </x:c>
      <x:c r="C57" s="6" t="str">
        <x:v>-A103:23</x:v>
      </x:c>
      <x:c r="D57" s="6" t="str">
        <x:v>DO_SPARE_10</x:v>
      </x:c>
      <x:c r="E57" s="6" t="str">
        <x:v>BK</x:v>
      </x:c>
      <x:c r="F57" s="6" t="str">
        <x:v>0.75</x:v>
      </x:c>
    </x:row>
    <x:row r="58" ht="27" customHeight="1">
      <x:c r="A58" s="6" t="str">
        <x:v>W0057</x:v>
      </x:c>
      <x:c r="B58" s="6" t="str">
        <x:v>X102:9</x:v>
      </x:c>
      <x:c r="C58" s="6" t="str">
        <x:v>-A103:24</x:v>
      </x:c>
      <x:c r="D58" s="6" t="str">
        <x:v>DO_SPARE_11</x:v>
      </x:c>
      <x:c r="E58" s="6" t="str">
        <x:v>BK</x:v>
      </x:c>
      <x:c r="F58" s="6" t="str">
        <x:v>0.75</x:v>
      </x:c>
    </x:row>
    <x:row r="59" ht="27" customHeight="1">
      <x:c r="A59" s="6" t="str">
        <x:v>W0058</x:v>
      </x:c>
      <x:c r="B59" s="6" t="str">
        <x:v>X102:10</x:v>
      </x:c>
      <x:c r="C59" s="6" t="str">
        <x:v>-A103:25</x:v>
      </x:c>
      <x:c r="D59" s="6" t="str">
        <x:v>DO_SPARE_12</x:v>
      </x:c>
      <x:c r="E59" s="6" t="str">
        <x:v>BK</x:v>
      </x:c>
      <x:c r="F59" s="6" t="str">
        <x:v>0.75</x:v>
      </x:c>
    </x:row>
    <x:row r="60" ht="27" customHeight="1">
      <x:c r="A60" s="6" t="str">
        <x:v>W0059</x:v>
      </x:c>
      <x:c r="B60" s="6" t="str">
        <x:v>X102:11</x:v>
      </x:c>
      <x:c r="C60" s="6" t="str">
        <x:v>-A103:26</x:v>
      </x:c>
      <x:c r="D60" s="6" t="str">
        <x:v>DO_SPARE_13</x:v>
      </x:c>
      <x:c r="E60" s="6" t="str">
        <x:v>BK</x:v>
      </x:c>
      <x:c r="F60" s="6" t="str">
        <x:v>0.75</x:v>
      </x:c>
    </x:row>
    <x:row r="61" ht="27" customHeight="1">
      <x:c r="A61" s="6" t="str">
        <x:v>W0060</x:v>
      </x:c>
      <x:c r="B61" s="6" t="str">
        <x:v>X102:12</x:v>
      </x:c>
      <x:c r="C61" s="6" t="str">
        <x:v>-A103:27</x:v>
      </x:c>
      <x:c r="D61" s="6" t="str">
        <x:v>DO_SPARE_14</x:v>
      </x:c>
      <x:c r="E61" s="6" t="str">
        <x:v>BK</x:v>
      </x:c>
      <x:c r="F61" s="6" t="str">
        <x:v>0.75</x:v>
      </x:c>
    </x:row>
    <x:row r="62" ht="27" customHeight="1">
      <x:c r="A62" s="6" t="str">
        <x:v>W0061</x:v>
      </x:c>
      <x:c r="B62" s="6" t="str">
        <x:v>X102:13</x:v>
      </x:c>
      <x:c r="C62" s="6" t="str">
        <x:v>-A103:28</x:v>
      </x:c>
      <x:c r="D62" s="6" t="str">
        <x:v>DO_SPARE_15</x:v>
      </x:c>
      <x:c r="E62" s="6" t="str">
        <x:v>BK</x:v>
      </x:c>
      <x:c r="F62" s="6" t="str">
        <x:v>0.75</x:v>
      </x:c>
    </x:row>
    <x:row r="63" ht="27" customHeight="1">
      <x:c r="A63" s="6" t="str">
        <x:v>W0062</x:v>
      </x:c>
      <x:c r="B63" s="6" t="str">
        <x:v>X102:14</x:v>
      </x:c>
      <x:c r="C63" s="6" t="str">
        <x:v>-A103:29</x:v>
      </x:c>
      <x:c r="D63" s="6" t="str">
        <x:v>DO_SPARE_16</x:v>
      </x:c>
      <x:c r="E63" s="6" t="str">
        <x:v>BK</x:v>
      </x:c>
      <x:c r="F63" s="6" t="str">
        <x:v>0.75</x:v>
      </x:c>
    </x:row>
    <x:row r="64" ht="27" customHeight="1">
      <x:c r="A64" s="6" t="str">
        <x:v>W0063</x:v>
      </x:c>
      <x:c r="B64" s="6" t="str">
        <x:v>X102:15</x:v>
      </x:c>
      <x:c r="C64" s="6" t="str">
        <x:v>-A103:30</x:v>
      </x:c>
      <x:c r="D64" s="6" t="str">
        <x:v>DO_SPARE_17</x:v>
      </x:c>
      <x:c r="E64" s="6" t="str">
        <x:v>BK</x:v>
      </x:c>
      <x:c r="F64" s="6" t="str">
        <x:v>0.75</x:v>
      </x:c>
    </x:row>
    <x:row r="65" ht="27" customHeight="1">
      <x:c r="A65" s="6" t="str">
        <x:v>W0064</x:v>
      </x:c>
      <x:c r="B65" s="6" t="str">
        <x:v>X102:16</x:v>
      </x:c>
      <x:c r="C65" s="6" t="str">
        <x:v>-A103:31</x:v>
      </x:c>
      <x:c r="D65" s="6" t="str">
        <x:v>DO_SPARE_18</x:v>
      </x:c>
      <x:c r="E65" s="6" t="str">
        <x:v>BK</x:v>
      </x:c>
      <x:c r="F65" s="6" t="str">
        <x:v>0.75</x:v>
      </x:c>
    </x:row>
    <x:row r="66" ht="27" customHeight="1">
      <x:c r="A66" s="6" t="str">
        <x:v>W0065</x:v>
      </x:c>
      <x:c r="B66" s="6" t="str">
        <x:v>X102:17</x:v>
      </x:c>
      <x:c r="C66" s="6" t="str">
        <x:v>-A104:0</x:v>
      </x:c>
      <x:c r="D66" s="6" t="str">
        <x:v>FLOW_1_MA_RAW</x:v>
      </x:c>
      <x:c r="E66" s="6" t="str">
        <x:v>BU</x:v>
      </x:c>
      <x:c r="F66" s="6" t="str">
        <x:v>0.5 shielded</x:v>
      </x:c>
    </x:row>
    <x:row r="67" ht="27" customHeight="1">
      <x:c r="A67" s="6" t="str">
        <x:v>W0066</x:v>
      </x:c>
      <x:c r="B67" s="6" t="str">
        <x:v>X102:18</x:v>
      </x:c>
      <x:c r="C67" s="6" t="str">
        <x:v>-A104:1</x:v>
      </x:c>
      <x:c r="D67" s="6" t="str">
        <x:v>FLOW_2_MA_RAW</x:v>
      </x:c>
      <x:c r="E67" s="6" t="str">
        <x:v>BU</x:v>
      </x:c>
      <x:c r="F67" s="6" t="str">
        <x:v>0.5 shielded</x:v>
      </x:c>
    </x:row>
    <x:row r="68" ht="27" customHeight="1">
      <x:c r="A68" s="6" t="str">
        <x:v>W0067</x:v>
      </x:c>
      <x:c r="B68" s="6" t="str">
        <x:v>X102:19</x:v>
      </x:c>
      <x:c r="C68" s="6" t="str">
        <x:v>-A104:2</x:v>
      </x:c>
      <x:c r="D68" s="6" t="str">
        <x:v>AI_SPARE_01</x:v>
      </x:c>
      <x:c r="E68" s="6" t="str">
        <x:v>BU</x:v>
      </x:c>
      <x:c r="F68" s="6" t="str">
        <x:v>0.5 shielded</x:v>
      </x:c>
    </x:row>
    <x:row r="69" ht="27" customHeight="1">
      <x:c r="A69" s="6" t="str">
        <x:v>W0068</x:v>
      </x:c>
      <x:c r="B69" s="6" t="str">
        <x:v>X102:20</x:v>
      </x:c>
      <x:c r="C69" s="6" t="str">
        <x:v>-A104:3</x:v>
      </x:c>
      <x:c r="D69" s="6" t="str">
        <x:v>AI_SPARE_02</x:v>
      </x:c>
      <x:c r="E69" s="6" t="str">
        <x:v>BU</x:v>
      </x:c>
      <x:c r="F69" s="6" t="str">
        <x:v>0.5 shielded</x:v>
      </x:c>
    </x:row>
    <x:row r="70" ht="27" customHeight="1">
      <x:c r="A70" s="6" t="str">
        <x:v>W0069</x:v>
      </x:c>
      <x:c r="B70" s="6" t="str">
        <x:v>X102:21</x:v>
      </x:c>
      <x:c r="C70" s="6" t="str">
        <x:v>-A104:4</x:v>
      </x:c>
      <x:c r="D70" s="6" t="str">
        <x:v>AI_SPARE_03</x:v>
      </x:c>
      <x:c r="E70" s="6" t="str">
        <x:v>BU</x:v>
      </x:c>
      <x:c r="F70" s="6" t="str">
        <x:v>0.5 shielded</x:v>
      </x:c>
    </x:row>
    <x:row r="71" ht="27" customHeight="1">
      <x:c r="A71" s="6" t="str">
        <x:v>W0070</x:v>
      </x:c>
      <x:c r="B71" s="6" t="str">
        <x:v>X102:22</x:v>
      </x:c>
      <x:c r="C71" s="6" t="str">
        <x:v>-A104:5</x:v>
      </x:c>
      <x:c r="D71" s="6" t="str">
        <x:v>AI_SPARE_04</x:v>
      </x:c>
      <x:c r="E71" s="6" t="str">
        <x:v>BU</x:v>
      </x:c>
      <x:c r="F71" s="6" t="str">
        <x:v>0.5 shielded</x:v>
      </x:c>
    </x:row>
    <x:row r="72" ht="27" customHeight="1">
      <x:c r="A72" s="6" t="str">
        <x:v>W0071</x:v>
      </x:c>
      <x:c r="B72" s="6" t="str">
        <x:v>X102:23</x:v>
      </x:c>
      <x:c r="C72" s="6" t="str">
        <x:v>-A104:6</x:v>
      </x:c>
      <x:c r="D72" s="6" t="str">
        <x:v>AI_SPARE_05</x:v>
      </x:c>
      <x:c r="E72" s="6" t="str">
        <x:v>BU</x:v>
      </x:c>
      <x:c r="F72" s="6" t="str">
        <x:v>0.5 shielded</x:v>
      </x:c>
    </x:row>
    <x:row r="73" ht="27" customHeight="1">
      <x:c r="A73" s="6" t="str">
        <x:v>W0072</x:v>
      </x:c>
      <x:c r="B73" s="6" t="str">
        <x:v>X102:24</x:v>
      </x:c>
      <x:c r="C73" s="6" t="str">
        <x:v>-A104:7</x:v>
      </x:c>
      <x:c r="D73" s="6" t="str">
        <x:v>AI_SPARE_06</x:v>
      </x:c>
      <x:c r="E73" s="6" t="str">
        <x:v>BU</x:v>
      </x:c>
      <x:c r="F73" s="6" t="str">
        <x:v>0.5 shielded</x:v>
      </x:c>
    </x:row>
    <x:row r="74" ht="27" customHeight="1">
      <x:c r="A74" s="6" t="str">
        <x:v>W0073</x:v>
      </x:c>
      <x:c r="B74" s="6" t="str">
        <x:v>X103:1</x:v>
      </x:c>
      <x:c r="C74" s="6" t="str">
        <x:v>-A101:CH0 A</x:v>
      </x:c>
      <x:c r="D74" s="6" t="str">
        <x:v>FLOW_1_PULSE</x:v>
      </x:c>
      <x:c r="E74" s="6" t="str">
        <x:v>BK</x:v>
      </x:c>
      <x:c r="F74" s="6" t="str">
        <x:v>0.75</x:v>
      </x:c>
    </x:row>
    <x:row r="75" ht="27" customHeight="1">
      <x:c r="A75" s="6" t="str">
        <x:v>W0074</x:v>
      </x:c>
      <x:c r="B75" s="6" t="str">
        <x:v>X103:2</x:v>
      </x:c>
      <x:c r="C75" s="6" t="str">
        <x:v>-A101:CH1 A</x:v>
      </x:c>
      <x:c r="D75" s="6" t="str">
        <x:v>FLOW_2_PULSE</x:v>
      </x:c>
      <x:c r="E75" s="6" t="str">
        <x:v>BK</x:v>
      </x:c>
      <x:c r="F75" s="6" t="str">
        <x:v>0.75</x:v>
      </x:c>
    </x:row>
  </x:sheetData>
  <x:pageMargins left="0.7" right="0.7" top="0.75" bottom="0.75" header="0.3" footer="0.3"/>
  <x:tableParts count="1">
    <x:tablePart xmlns:r="http://schemas.openxmlformats.org/officeDocument/2006/relationships" r:id="R9afdd8fb9355459d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33.75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22.5" hidden="0" customWidth="1"/>
  </x:cols>
  <x:sheetData>
    <x:row r="1" ht="31.5" customHeight="1">
      <x:c r="A1" s="12" t="str">
        <x:v>tag</x:v>
      </x:c>
      <x:c r="B1" s="12" t="str">
        <x:v>description</x:v>
      </x:c>
      <x:c r="C1" s="12" t="str">
        <x:v>manufacturer</x:v>
      </x:c>
      <x:c r="D1" s="12" t="str">
        <x:v>order_no</x:v>
      </x:c>
      <x:c r="E1" s="12" t="str">
        <x:v>qty</x:v>
      </x:c>
      <x:c r="F1" s="12" t="str">
        <x:v>procurement_status</x:v>
      </x:c>
    </x:row>
    <x:row r="2" ht="27" customHeight="1">
      <x:c r="A2" s="6" t="str">
        <x:v>-A100</x:v>
      </x:c>
      <x:c r="B2" s="6" t="str">
        <x:v>SIMATIC S7-1500 CPU 1511-1 PN</x:v>
      </x:c>
      <x:c r="C2" s="6" t="str">
        <x:v>Siemens</x:v>
      </x:c>
      <x:c r="D2" s="6" t="str">
        <x:v>6ES7511-1AL03-0AB0</x:v>
      </x:c>
      <x:c r="E2" s="6" t="str">
        <x:v>1</x:v>
      </x:c>
      <x:c r="F2" s="6" t="str">
        <x:v>Selected; official lifecycle page checked</x:v>
      </x:c>
    </x:row>
    <x:row r="3" ht="27" customHeight="1">
      <x:c r="A3" s="6" t="str">
        <x:v>-A101</x:v>
      </x:c>
      <x:c r="B3" s="6" t="str">
        <x:v>TM Count 2x24V</x:v>
      </x:c>
      <x:c r="C3" s="6" t="str">
        <x:v>Siemens</x:v>
      </x:c>
      <x:c r="D3" s="6" t="str">
        <x:v>6ES7550-1AA01-0AB0</x:v>
      </x:c>
      <x:c r="E3" s="6" t="str">
        <x:v>1</x:v>
      </x:c>
      <x:c r="F3" s="6" t="str">
        <x:v>Selected; official lifecycle page checked</x:v>
      </x:c>
    </x:row>
    <x:row r="4" ht="27" customHeight="1">
      <x:c r="A4" s="6" t="str">
        <x:v>-A102</x:v>
      </x:c>
      <x:c r="B4" s="6" t="str">
        <x:v>DI 32x24V DC HF</x:v>
      </x:c>
      <x:c r="C4" s="6" t="str">
        <x:v>Siemens</x:v>
      </x:c>
      <x:c r="D4" s="6" t="str">
        <x:v>6ES7521-1BL00-0AB0</x:v>
      </x:c>
      <x:c r="E4" s="6" t="str">
        <x:v>1</x:v>
      </x:c>
      <x:c r="F4" s="6" t="str">
        <x:v>Selected; official product page checked</x:v>
      </x:c>
    </x:row>
    <x:row r="5" ht="27" customHeight="1">
      <x:c r="A5" s="6" t="str">
        <x:v>-A103</x:v>
      </x:c>
      <x:c r="B5" s="6" t="str">
        <x:v>DQ 32x24V DC/0.5A HF</x:v>
      </x:c>
      <x:c r="C5" s="6" t="str">
        <x:v>Siemens</x:v>
      </x:c>
      <x:c r="D5" s="6" t="str">
        <x:v>6ES7522-1BL01-0AB0</x:v>
      </x:c>
      <x:c r="E5" s="6" t="str">
        <x:v>1</x:v>
      </x:c>
      <x:c r="F5" s="6" t="str">
        <x:v>Selected; official product page checked</x:v>
      </x:c>
    </x:row>
    <x:row r="6" ht="27" customHeight="1">
      <x:c r="A6" s="6" t="str">
        <x:v>-A104</x:v>
      </x:c>
      <x:c r="B6" s="6" t="str">
        <x:v>AI 8xU/I HF</x:v>
      </x:c>
      <x:c r="C6" s="6" t="str">
        <x:v>Siemens</x:v>
      </x:c>
      <x:c r="D6" s="6" t="str">
        <x:v>6ES7531-7NF00-0AB0</x:v>
      </x:c>
      <x:c r="E6" s="6" t="str">
        <x:v>1</x:v>
      </x:c>
      <x:c r="F6" s="6" t="str">
        <x:v>Selected; official product page checked</x:v>
      </x:c>
    </x:row>
    <x:row r="7" ht="27" customHeight="1">
      <x:c r="A7" s="6" t="str">
        <x:v>-H100</x:v>
      </x:c>
      <x:c r="B7" s="6" t="str">
        <x:v>MTP700 Unified Comfort</x:v>
      </x:c>
      <x:c r="C7" s="6" t="str">
        <x:v>Siemens</x:v>
      </x:c>
      <x:c r="D7" s="6" t="str">
        <x:v>6AV2128-3GB06-0AX1</x:v>
      </x:c>
      <x:c r="E7" s="6" t="str">
        <x:v>1</x:v>
      </x:c>
      <x:c r="F7" s="6" t="str">
        <x:v>Selected; official active product page checked</x:v>
      </x:c>
    </x:row>
    <x:row r="8" ht="27" customHeight="1">
      <x:c r="A8" s="6" t="str">
        <x:v>-U100</x:v>
      </x:c>
      <x:c r="B8" s="6" t="str">
        <x:v>SINAMICS G120C PN 0.75 kW unfiltered</x:v>
      </x:c>
      <x:c r="C8" s="6" t="str">
        <x:v>Siemens</x:v>
      </x:c>
      <x:c r="D8" s="6" t="str">
        <x:v>6SL3210-1KE12-3UF2</x:v>
      </x:c>
      <x:c r="E8" s="6" t="str">
        <x:v>1</x:v>
      </x:c>
      <x:c r="F8" s="6" t="str">
        <x:v>Selected; motor/site validation required</x:v>
      </x:c>
    </x:row>
    <x:row r="9" ht="27" customHeight="1">
      <x:c r="A9" s="6" t="str">
        <x:v>-U101</x:v>
      </x:c>
      <x:c r="B9" s="6" t="str">
        <x:v>SINAMICS G120C PN 0.75 kW unfiltered</x:v>
      </x:c>
      <x:c r="C9" s="6" t="str">
        <x:v>Siemens</x:v>
      </x:c>
      <x:c r="D9" s="6" t="str">
        <x:v>6SL3210-1KE12-3UF2</x:v>
      </x:c>
      <x:c r="E9" s="6" t="str">
        <x:v>1</x:v>
      </x:c>
      <x:c r="F9" s="6" t="str">
        <x:v>Selected; motor/site validation required</x:v>
      </x:c>
    </x:row>
    <x:row r="10" ht="27" customHeight="1">
      <x:c r="A10" s="6" t="str">
        <x:v>-PC200</x:v>
      </x:c>
      <x:c r="B10" s="6" t="str">
        <x:v>Jetson Orin NX 16GB module on industrial carrier</x:v>
      </x:c>
      <x:c r="C10" s="6" t="str">
        <x:v>NVIDIA</x:v>
      </x:c>
      <x:c r="D10" s="6" t="str">
        <x:v>Carrier/integration SKU TBD</x:v>
      </x:c>
      <x:c r="E10" s="6" t="str">
        <x:v>1</x:v>
      </x:c>
      <x:c r="F10" s="6" t="str">
        <x:v>Architecture selection; procurement decision open</x:v>
      </x:c>
    </x:row>
    <x:row r="11" ht="27" customHeight="1">
      <x:c r="A11" s="6" t="str">
        <x:v>-SW100</x:v>
      </x:c>
      <x:c r="B11" s="6" t="str">
        <x:v>SCALANCE XB208 unmanaged</x:v>
      </x:c>
      <x:c r="C11" s="6" t="str">
        <x:v>Siemens</x:v>
      </x:c>
      <x:c r="D11" s="6" t="str">
        <x:v>6GK5008-0BA10-1AB2</x:v>
      </x:c>
      <x:c r="E11" s="6" t="str">
        <x:v>1</x:v>
      </x:c>
      <x:c r="F11" s="6" t="str">
        <x:v>Preliminary; official compatibility/procurement check open</x:v>
      </x:c>
    </x:row>
  </x:sheetData>
  <x:pageMargins left="0.7" right="0.7" top="0.75" bottom="0.75" header="0.3" footer="0.3"/>
  <x:tableParts count="1">
    <x:tablePart xmlns:r="http://schemas.openxmlformats.org/officeDocument/2006/relationships" r:id="Rf4ae5d2fb63e415a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27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27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 current allowance from product data</x:v>
      </x:c>
    </x:row>
    <x:row r="4" ht="27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27" customHeight="1">
      <x:c r="A5" s="6" t="str">
        <x:v>Vision edge + camera + lighting</x:v>
      </x:c>
      <x:c r="B5" s="6" t="str">
        <x:v>24 VDC</x:v>
      </x:c>
      <x:c r="C5" s="6" t="str">
        <x:v>100</x:v>
      </x:c>
      <x:c r="D5" s="6" t="str">
        <x:v>1.0</x:v>
      </x:c>
      <x:c r="E5" s="6" t="str">
        <x:v>100</x:v>
      </x:c>
      <x:c r="F5" s="6" t="str">
        <x:v>Placeholder engineering allowance pending carrier/camera selection</x:v>
      </x:c>
    </x:row>
    <x:row r="6" ht="27" customHeight="1">
      <x:c r="A6" s="6" t="str">
        <x:v>24 VDC subtotal</x:v>
      </x:c>
      <x:c r="B6" s="6" t="str">
        <x:v>24 VDC</x:v>
      </x:c>
      <x:c r="C6" s="6" t="str">
        <x:v>329</x:v>
      </x:c>
      <x:c r="D6" s="6" t="str">
        <x:v>1.0</x:v>
      </x:c>
      <x:c r="E6" s="6" t="str">
        <x:v>299</x:v>
      </x:c>
      <x:c r="F6" s="6" t="str">
        <x:v>12.46 A demand; retain &gt;=25% margin; select 20 A PSU after inrush check</x:v>
      </x:c>
    </x:row>
    <x:row r="7" ht="27" customHeight="1">
      <x:c r="A7" s="6" t="str">
        <x:v>Conveyor drive</x:v>
      </x:c>
      <x:c r="B7" s="6" t="str">
        <x:v>400 VAC</x:v>
      </x:c>
      <x:c r="C7" s="6" t="str">
        <x:v>750</x:v>
      </x:c>
      <x:c r="D7" s="6" t="str">
        <x:v>1.0</x:v>
      </x:c>
      <x:c r="E7" s="6" t="str">
        <x:v>750</x:v>
      </x:c>
      <x:c r="F7" s="6" t="str">
        <x:v>Motor nameplate not supplied</x:v>
      </x:c>
    </x:row>
    <x:row r="8" ht="27" customHeight="1">
      <x:c r="A8" s="6" t="str">
        <x:v>Pump drive</x:v>
      </x:c>
      <x:c r="B8" s="6" t="str">
        <x:v>400 VAC</x:v>
      </x:c>
      <x:c r="C8" s="6" t="str">
        <x:v>750</x:v>
      </x:c>
      <x:c r="D8" s="6" t="str">
        <x:v>1.0</x:v>
      </x:c>
      <x:c r="E8" s="6" t="str">
        <x:v>750</x:v>
      </x:c>
      <x:c r="F8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ccf1cc2af6974076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22.5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zone</x:v>
      </x:c>
      <x:c r="H1" s="12" t="str">
        <x:v>model_status</x:v>
      </x:c>
    </x:row>
    <x:row r="2" ht="27" customHeight="1">
      <x:c r="A2" s="6" t="str">
        <x:v>-A100</x:v>
      </x:c>
      <x:c r="B2" s="6" t="str">
        <x:v>80</x:v>
      </x:c>
      <x:c r="C2" s="6" t="str">
        <x:v>80</x:v>
      </x:c>
      <x:c r="D2" s="6" t="str">
        <x:v>110</x:v>
      </x:c>
      <x:c r="E2" s="6" t="str">
        <x:v>150</x:v>
      </x:c>
      <x:c r="F2" s="6" t="str">
        <x:v>170</x:v>
      </x:c>
      <x:c r="G2" s="6" t="str">
        <x:v>Controls</x:v>
      </x:c>
      <x:c r="H2" s="6" t="str">
        <x:v>Envelope only; native CAD baseline predates selection</x:v>
      </x:c>
    </x:row>
    <x:row r="3" ht="27" customHeight="1">
      <x:c r="A3" s="6" t="str">
        <x:v>-A101</x:v>
      </x:c>
      <x:c r="B3" s="6" t="str">
        <x:v>210</x:v>
      </x:c>
      <x:c r="C3" s="6" t="str">
        <x:v>80</x:v>
      </x:c>
      <x:c r="D3" s="6" t="str">
        <x:v>110</x:v>
      </x:c>
      <x:c r="E3" s="6" t="str">
        <x:v>150</x:v>
      </x:c>
      <x:c r="F3" s="6" t="str">
        <x:v>170</x:v>
      </x:c>
      <x:c r="G3" s="6" t="str">
        <x:v>Controls</x:v>
      </x:c>
      <x:c r="H3" s="6" t="str">
        <x:v>Envelope only; native CAD baseline predates selection</x:v>
      </x:c>
    </x:row>
    <x:row r="4" ht="27" customHeight="1">
      <x:c r="A4" s="6" t="str">
        <x:v>-A102</x:v>
      </x:c>
      <x:c r="B4" s="6" t="str">
        <x:v>340</x:v>
      </x:c>
      <x:c r="C4" s="6" t="str">
        <x:v>80</x:v>
      </x:c>
      <x:c r="D4" s="6" t="str">
        <x:v>110</x:v>
      </x:c>
      <x:c r="E4" s="6" t="str">
        <x:v>150</x:v>
      </x:c>
      <x:c r="F4" s="6" t="str">
        <x:v>170</x:v>
      </x:c>
      <x:c r="G4" s="6" t="str">
        <x:v>Controls</x:v>
      </x:c>
      <x:c r="H4" s="6" t="str">
        <x:v>Envelope only; native CAD baseline predates selection</x:v>
      </x:c>
    </x:row>
    <x:row r="5" ht="27" customHeight="1">
      <x:c r="A5" s="6" t="str">
        <x:v>-A103</x:v>
      </x:c>
      <x:c r="B5" s="6" t="str">
        <x:v>470</x:v>
      </x:c>
      <x:c r="C5" s="6" t="str">
        <x:v>80</x:v>
      </x:c>
      <x:c r="D5" s="6" t="str">
        <x:v>110</x:v>
      </x:c>
      <x:c r="E5" s="6" t="str">
        <x:v>150</x:v>
      </x:c>
      <x:c r="F5" s="6" t="str">
        <x:v>170</x:v>
      </x:c>
      <x:c r="G5" s="6" t="str">
        <x:v>Controls</x:v>
      </x:c>
      <x:c r="H5" s="6" t="str">
        <x:v>Envelope only; native CAD baseline predates selection</x:v>
      </x:c>
    </x:row>
    <x:row r="6" ht="27" customHeight="1">
      <x:c r="A6" s="6" t="str">
        <x:v>-A104</x:v>
      </x:c>
      <x:c r="B6" s="6" t="str">
        <x:v>600</x:v>
      </x:c>
      <x:c r="C6" s="6" t="str">
        <x:v>80</x:v>
      </x:c>
      <x:c r="D6" s="6" t="str">
        <x:v>110</x:v>
      </x:c>
      <x:c r="E6" s="6" t="str">
        <x:v>150</x:v>
      </x:c>
      <x:c r="F6" s="6" t="str">
        <x:v>170</x:v>
      </x:c>
      <x:c r="G6" s="6" t="str">
        <x:v>Controls</x:v>
      </x:c>
      <x:c r="H6" s="6" t="str">
        <x:v>Envelope only; native CAD baseline predates selection</x:v>
      </x:c>
    </x:row>
    <x:row r="7" ht="27" customHeight="1">
      <x:c r="A7" s="6" t="str">
        <x:v>-H100</x:v>
      </x:c>
      <x:c r="B7" s="6" t="str">
        <x:v>80</x:v>
      </x:c>
      <x:c r="C7" s="6" t="str">
        <x:v>260</x:v>
      </x:c>
      <x:c r="D7" s="6" t="str">
        <x:v>110</x:v>
      </x:c>
      <x:c r="E7" s="6" t="str">
        <x:v>150</x:v>
      </x:c>
      <x:c r="F7" s="6" t="str">
        <x:v>170</x:v>
      </x:c>
      <x:c r="G7" s="6" t="str">
        <x:v>Controls</x:v>
      </x:c>
      <x:c r="H7" s="6" t="str">
        <x:v>Envelope only; native CAD baseline predates selection</x:v>
      </x:c>
    </x:row>
    <x:row r="8" ht="27" customHeight="1">
      <x:c r="A8" s="6" t="str">
        <x:v>-U100</x:v>
      </x:c>
      <x:c r="B8" s="6" t="str">
        <x:v>210</x:v>
      </x:c>
      <x:c r="C8" s="6" t="str">
        <x:v>260</x:v>
      </x:c>
      <x:c r="D8" s="6" t="str">
        <x:v>110</x:v>
      </x:c>
      <x:c r="E8" s="6" t="str">
        <x:v>150</x:v>
      </x:c>
      <x:c r="F8" s="6" t="str">
        <x:v>170</x:v>
      </x:c>
      <x:c r="G8" s="6" t="str">
        <x:v>Drives/vision</x:v>
      </x:c>
      <x:c r="H8" s="6" t="str">
        <x:v>Envelope only; native CAD baseline predates selection</x:v>
      </x:c>
    </x:row>
    <x:row r="9" ht="27" customHeight="1">
      <x:c r="A9" s="6" t="str">
        <x:v>-U101</x:v>
      </x:c>
      <x:c r="B9" s="6" t="str">
        <x:v>340</x:v>
      </x:c>
      <x:c r="C9" s="6" t="str">
        <x:v>260</x:v>
      </x:c>
      <x:c r="D9" s="6" t="str">
        <x:v>110</x:v>
      </x:c>
      <x:c r="E9" s="6" t="str">
        <x:v>150</x:v>
      </x:c>
      <x:c r="F9" s="6" t="str">
        <x:v>170</x:v>
      </x:c>
      <x:c r="G9" s="6" t="str">
        <x:v>Drives/vision</x:v>
      </x:c>
      <x:c r="H9" s="6" t="str">
        <x:v>Envelope only; native CAD baseline predates selection</x:v>
      </x:c>
    </x:row>
    <x:row r="10" ht="27" customHeight="1">
      <x:c r="A10" s="6" t="str">
        <x:v>-PC200</x:v>
      </x:c>
      <x:c r="B10" s="6" t="str">
        <x:v>470</x:v>
      </x:c>
      <x:c r="C10" s="6" t="str">
        <x:v>260</x:v>
      </x:c>
      <x:c r="D10" s="6" t="str">
        <x:v>110</x:v>
      </x:c>
      <x:c r="E10" s="6" t="str">
        <x:v>150</x:v>
      </x:c>
      <x:c r="F10" s="6" t="str">
        <x:v>170</x:v>
      </x:c>
      <x:c r="G10" s="6" t="str">
        <x:v>Drives/vision</x:v>
      </x:c>
      <x:c r="H10" s="6" t="str">
        <x:v>Envelope only; native CAD baseline predates selection</x:v>
      </x:c>
    </x:row>
    <x:row r="11" ht="27" customHeight="1">
      <x:c r="A11" s="6" t="str">
        <x:v>-SW100</x:v>
      </x:c>
      <x:c r="B11" s="6" t="str">
        <x:v>600</x:v>
      </x:c>
      <x:c r="C11" s="6" t="str">
        <x:v>260</x:v>
      </x:c>
      <x:c r="D11" s="6" t="str">
        <x:v>110</x:v>
      </x:c>
      <x:c r="E11" s="6" t="str">
        <x:v>150</x:v>
      </x:c>
      <x:c r="F11" s="6" t="str">
        <x:v>170</x:v>
      </x:c>
      <x:c r="G11" s="6" t="str">
        <x:v>Drives/vision</x:v>
      </x:c>
      <x:c r="H11" s="6" t="str">
        <x:v>Envelope only; native CAD baseline predates selection</x:v>
      </x:c>
    </x:row>
  </x:sheetData>
  <x:pageMargins left="0.7" right="0.7" top="0.75" bottom="0.75" header="0.3" footer="0.3"/>
  <x:tableParts count="1">
    <x:tablePart xmlns:r="http://schemas.openxmlformats.org/officeDocument/2006/relationships" r:id="R3af90dab281c44ba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</x:row>
    <x:row r="2" ht="27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</x:row>
    <x:row r="3" ht="27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</x:row>
    <x:row r="4" ht="27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</x:row>
    <x:row r="5" ht="27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</x:row>
    <x:row r="6" ht="27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</x:row>
    <x:row r="7" ht="27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</x:row>
    <x:row r="8" ht="27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</x:row>
    <x:row r="9" ht="27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</x:row>
    <x:row r="10" ht="27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</x:row>
    <x:row r="11" ht="27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</x:row>
    <x:row r="12" ht="27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</x:row>
    <x:row r="13" ht="27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</x:row>
    <x:row r="14" ht="27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</x:row>
    <x:row r="15" ht="27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</x:row>
    <x:row r="16" ht="27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</x:row>
    <x:row r="17" ht="27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</x:row>
    <x:row r="18" ht="27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</x:row>
    <x:row r="19" ht="27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</x:row>
    <x:row r="20" ht="27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</x:row>
    <x:row r="21" ht="27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</x:row>
    <x:row r="22" ht="27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</x:row>
    <x:row r="23" ht="27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</x:row>
    <x:row r="24" ht="27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</x:row>
    <x:row r="25" ht="27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</x:row>
    <x:row r="26" ht="27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</x:row>
  </x:sheetData>
  <x:pageMargins left="0.7" right="0.7" top="0.75" bottom="0.75" header="0.3" footer="0.3"/>
  <x:tableParts count="1">
    <x:tablePart xmlns:r="http://schemas.openxmlformats.org/officeDocument/2006/relationships" r:id="Rb2c140ebe97449bf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</x:row>
    <x:row r="2" ht="27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Normal cycle releases only for normal scenario; every injected blocking condition enters HOLD or FAULT with pump/valves off</x:v>
      </x:c>
      <x:c r="E2" s="6" t="str">
        <x:v>NOT RUN</x:v>
      </x:c>
    </x:row>
    <x:row r="3" ht="27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Normal cycle releases only for normal scenario; every injected blocking condition enters HOLD or FAULT with pump/valves off</x:v>
      </x:c>
      <x:c r="E3" s="6" t="str">
        <x:v>NOT RUN</x:v>
      </x:c>
    </x:row>
    <x:row r="4" ht="27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Normal cycle releases only for normal scenario; every injected blocking condition enters HOLD or FAULT with pump/valves off</x:v>
      </x:c>
      <x:c r="E4" s="6" t="str">
        <x:v>NOT RUN</x:v>
      </x:c>
    </x:row>
    <x:row r="5" ht="27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Normal cycle releases only for normal scenario; every injected blocking condition enters HOLD or FAULT with pump/valves off</x:v>
      </x:c>
      <x:c r="E5" s="6" t="str">
        <x:v>NOT RUN</x:v>
      </x:c>
    </x:row>
    <x:row r="6" ht="27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Normal cycle releases only for normal scenario; every injected blocking condition enters HOLD or FAULT with pump/valves off</x:v>
      </x:c>
      <x:c r="E6" s="6" t="str">
        <x:v>NOT RUN</x:v>
      </x:c>
    </x:row>
    <x:row r="7" ht="27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Normal cycle releases only for normal scenario; every injected blocking condition enters HOLD or FAULT with pump/valves off</x:v>
      </x:c>
      <x:c r="E7" s="6" t="str">
        <x:v>NOT RUN</x:v>
      </x:c>
    </x:row>
    <x:row r="8" ht="27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Normal cycle releases only for normal scenario; every injected blocking condition enters HOLD or FAULT with pump/valves off</x:v>
      </x:c>
      <x:c r="E8" s="6" t="str">
        <x:v>NOT RUN</x:v>
      </x:c>
    </x:row>
    <x:row r="9" ht="27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Normal cycle releases only for normal scenario; every injected blocking condition enters HOLD or FAULT with pump/valves off</x:v>
      </x:c>
      <x:c r="E9" s="6" t="str">
        <x:v>NOT RUN</x:v>
      </x:c>
    </x:row>
    <x:row r="10" ht="27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Normal cycle releases only for normal scenario; every injected blocking condition enters HOLD or FAULT with pump/valves off</x:v>
      </x:c>
      <x:c r="E10" s="6" t="str">
        <x:v>NOT RUN</x:v>
      </x:c>
    </x:row>
    <x:row r="11" ht="27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Normal cycle releases only for normal scenario; every injected blocking condition enters HOLD or FAULT with pump/valves off</x:v>
      </x:c>
      <x:c r="E11" s="6" t="str">
        <x:v>NOT RUN</x:v>
      </x:c>
    </x:row>
    <x:row r="12" ht="27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Normal cycle releases only for normal scenario; every injected blocking condition enters HOLD or FAULT with pump/valves off</x:v>
      </x:c>
      <x:c r="E12" s="6" t="str">
        <x:v>NOT RUN</x:v>
      </x:c>
    </x:row>
    <x:row r="13" ht="27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Normal cycle releases only for normal scenario; every injected blocking condition enters HOLD or FAULT with pump/valves off</x:v>
      </x:c>
      <x:c r="E13" s="6" t="str">
        <x:v>NOT RUN</x:v>
      </x:c>
    </x:row>
    <x:row r="14" ht="27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Normal cycle releases only for normal scenario; every injected blocking condition enters HOLD or FAULT with pump/valves off</x:v>
      </x:c>
      <x:c r="E14" s="6" t="str">
        <x:v>NOT RUN</x:v>
      </x:c>
    </x:row>
    <x:row r="15" ht="27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Normal cycle releases only for normal scenario; every injected blocking condition enters HOLD or FAULT with pump/valves off</x:v>
      </x:c>
      <x:c r="E15" s="6" t="str">
        <x:v>NOT RUN</x:v>
      </x:c>
    </x:row>
    <x:row r="16" ht="27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Normal cycle releases only for normal scenario; every injected blocking condition enters HOLD or FAULT with pump/valves off</x:v>
      </x:c>
      <x:c r="E16" s="6" t="str">
        <x:v>NOT RUN</x:v>
      </x:c>
    </x:row>
    <x:row r="17" ht="27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Normal cycle releases only for normal scenario; every injected blocking condition enters HOLD or FAULT with pump/valves off</x:v>
      </x:c>
      <x:c r="E17" s="6" t="str">
        <x:v>NOT RUN</x:v>
      </x:c>
    </x:row>
    <x:row r="18" ht="27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Normal cycle releases only for normal scenario; every injected blocking condition enters HOLD or FAULT with pump/valves off</x:v>
      </x:c>
      <x:c r="E18" s="6" t="str">
        <x:v>NOT RUN</x:v>
      </x:c>
    </x:row>
    <x:row r="19" ht="27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Normal cycle releases only for normal scenario; every injected blocking condition enters HOLD or FAULT with pump/valves off</x:v>
      </x:c>
      <x:c r="E19" s="6" t="str">
        <x:v>NOT RUN</x:v>
      </x:c>
    </x:row>
    <x:row r="20" ht="27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Normal cycle releases only for normal scenario; every injected blocking condition enters HOLD or FAULT with pump/valves off</x:v>
      </x:c>
      <x:c r="E20" s="6" t="str">
        <x:v>NOT RUN</x:v>
      </x:c>
    </x:row>
    <x:row r="21" ht="27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Normal cycle releases only for normal scenario; every injected blocking condition enters HOLD or FAULT with pump/valves off</x:v>
      </x:c>
      <x:c r="E21" s="6" t="str">
        <x:v>NOT RUN</x:v>
      </x:c>
    </x:row>
    <x:row r="22" ht="27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Normal cycle releases only for normal scenario; every injected blocking condition enters HOLD or FAULT with pump/valves off</x:v>
      </x:c>
      <x:c r="E22" s="6" t="str">
        <x:v>NOT RUN</x:v>
      </x:c>
    </x:row>
    <x:row r="23" ht="27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Normal cycle releases only for normal scenario; every injected blocking condition enters HOLD or FAULT with pump/valves off</x:v>
      </x:c>
      <x:c r="E23" s="6" t="str">
        <x:v>NOT RUN</x:v>
      </x:c>
    </x:row>
    <x:row r="24" ht="27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Normal cycle releases only for normal scenario; every injected blocking condition enters HOLD or FAULT with pump/valves off</x:v>
      </x:c>
      <x:c r="E24" s="6" t="str">
        <x:v>NOT RUN</x:v>
      </x:c>
    </x:row>
    <x:row r="25" ht="27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Normal cycle releases only for normal scenario; every injected blocking condition enters HOLD or FAULT with pump/valves off</x:v>
      </x:c>
      <x:c r="E25" s="6" t="str">
        <x:v>NOT RUN</x:v>
      </x:c>
    </x:row>
    <x:row r="26" ht="27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Normal cycle releases only for normal scenario; every injected blocking condition enters HOLD or FAULT with pump/valves off</x:v>
      </x:c>
      <x:c r="E26" s="6" t="str">
        <x:v>NOT RUN</x:v>
      </x:c>
    </x:row>
    <x:row r="27" ht="27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Normal cycle releases only for normal scenario; every injected blocking condition enters HOLD or FAULT with pump/valves off</x:v>
      </x:c>
      <x:c r="E27" s="6" t="str">
        <x:v>NOT RUN</x:v>
      </x:c>
    </x:row>
    <x:row r="28" ht="27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Normal cycle releases only for normal scenario; every injected blocking condition enters HOLD or FAULT with pump/valves off</x:v>
      </x:c>
      <x:c r="E28" s="6" t="str">
        <x:v>NOT RUN</x:v>
      </x:c>
    </x:row>
    <x:row r="29" ht="27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Normal cycle releases only for normal scenario; every injected blocking condition enters HOLD or FAULT with pump/valves off</x:v>
      </x:c>
      <x:c r="E29" s="6" t="str">
        <x:v>NOT RUN</x:v>
      </x:c>
    </x:row>
    <x:row r="30" ht="27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Normal cycle releases only for normal scenario; every injected blocking condition enters HOLD or FAULT with pump/valves off</x:v>
      </x:c>
      <x:c r="E30" s="6" t="str">
        <x:v>NOT RUN</x:v>
      </x:c>
    </x:row>
    <x:row r="31" ht="27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Normal cycle releases only for normal scenario; every injected blocking condition enters HOLD or FAULT with pump/valves off</x:v>
      </x:c>
      <x:c r="E31" s="6" t="str">
        <x:v>NOT RUN</x:v>
      </x:c>
    </x:row>
    <x:row r="32" ht="27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Normal cycle releases only for normal scenario; every injected blocking condition enters HOLD or FAULT with pump/valves off</x:v>
      </x:c>
      <x:c r="E32" s="6" t="str">
        <x:v>NOT RUN</x:v>
      </x:c>
    </x:row>
    <x:row r="33" ht="27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Normal cycle releases only for normal scenario; every injected blocking condition enters HOLD or FAULT with pump/valves off</x:v>
      </x:c>
      <x:c r="E33" s="6" t="str">
        <x:v>NOT RUN</x:v>
      </x:c>
    </x:row>
  </x:sheetData>
  <x:pageMargins left="0.7" right="0.7" top="0.75" bottom="0.75" header="0.3" footer="0.3"/>
  <x:tableParts count="1">
    <x:tablePart xmlns:r="http://schemas.openxmlformats.org/officeDocument/2006/relationships" r:id="Rec8930e175254d9f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—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— NOT FOR CONSTRUCTION | Revision B | Overall status: PARTIALLY COMPLETE</x:v>
      </x:c>
      <x:c r="B3" s="24"/>
      <x:c r="C3" s="24"/>
      <x:c r="D3" s="24"/>
      <x:c r="E3" s="24"/>
      <x:c r="F3" s="24"/>
      <x:c r="G3" s="24"/>
      <x:c r="H3" s="24"/>
    </x:row>
    <x:row r="5">
      <x:c r="A5" s="28" t="str">
        <x:v>Controlled metric</x:v>
      </x:c>
      <x:c r="B5" s="28" t="str">
        <x:v>Value</x:v>
      </x:c>
      <x:c r="D5" s="34" t="str">
        <x:v>Release boundary</x:v>
      </x:c>
      <x:c r="E5" s="34"/>
      <x:c r="F5" s="34"/>
      <x:c r="G5" s="34"/>
      <x:c r="H5" s="34"/>
    </x:row>
    <x:row r="6">
      <x:c r="A6" s="30" t="str">
        <x:v>PLC I/O rows</x:v>
      </x:c>
      <x:c r="B6" t="n">
        <x:f>COUNTA('PLC I-O'!A2:A200)</x:f>
        <x:v>74</x:v>
      </x:c>
      <x:c r="D6" s="42" t="str">
        <x:v>Native TIA/WinCC/Startdrive/PLCSIM, trained NVIDIA model, revision-B QElectroTech upgrade and revision-B panel CAD remain blocked. The inherited native electrical/CAD files are quarantined historical baselines. No construction, safety, compile, FAT, SAT or model-performance claim is made.</x:v>
      </x:c>
      <x:c r="E6" s="42"/>
      <x:c r="F6" s="42"/>
      <x:c r="G6" s="42"/>
      <x:c r="H6" s="42"/>
    </x:row>
    <x:row r="7">
      <x:c r="A7" s="30" t="str">
        <x:v>Physical DI</x:v>
      </x:c>
      <x:c r="B7" t="n">
        <x:f>COUNTIF('PLC I-O'!B2:B200,"DI")</x:f>
        <x:v>32</x:v>
      </x:c>
      <x:c r="D7" s="42"/>
      <x:c r="E7" s="42"/>
      <x:c r="F7" s="42"/>
      <x:c r="G7" s="42"/>
      <x:c r="H7" s="42"/>
    </x:row>
    <x:row r="8">
      <x:c r="A8" s="30" t="str">
        <x:v>Physical DO</x:v>
      </x:c>
      <x:c r="B8" t="n">
        <x:f>COUNTIF('PLC I-O'!B2:B200,"DO")</x:f>
        <x:v>32</x:v>
      </x:c>
      <x:c r="D8" s="42"/>
      <x:c r="E8" s="42"/>
      <x:c r="F8" s="42"/>
      <x:c r="G8" s="42"/>
      <x:c r="H8" s="42"/>
    </x:row>
    <x:row r="9">
      <x:c r="A9" s="30" t="str">
        <x:v>Analog inputs</x:v>
      </x:c>
      <x:c r="B9" t="n">
        <x:f>COUNTIF('PLC I-O'!B2:B200,"AI")</x:f>
        <x:v>8</x:v>
      </x:c>
      <x:c r="D9" s="42"/>
      <x:c r="E9" s="42"/>
      <x:c r="F9" s="42"/>
      <x:c r="G9" s="42"/>
      <x:c r="H9" s="42"/>
    </x:row>
    <x:row r="10">
      <x:c r="A10" s="30" t="str">
        <x:v>High-speed counters</x:v>
      </x:c>
      <x:c r="B10" t="n">
        <x:f>COUNTIF('PLC I-O'!B2:B200,"HSC")</x:f>
        <x:v>2</x:v>
      </x:c>
      <x:c r="D10" s="42"/>
      <x:c r="E10" s="42"/>
      <x:c r="F10" s="42"/>
      <x:c r="G10" s="42"/>
      <x:c r="H10" s="42"/>
    </x:row>
    <x:row r="11">
      <x:c r="A11" s="30" t="str">
        <x:v>Vision contract signals</x:v>
      </x:c>
      <x:c r="B11" t="n">
        <x:f>COUNTA('NVIDIA Interface'!A2:A100)</x:f>
        <x:v>21</x:v>
      </x:c>
      <x:c r="D11" s="42"/>
      <x:c r="E11" s="42"/>
      <x:c r="F11" s="42"/>
      <x:c r="G11" s="42"/>
      <x:c r="H11" s="42"/>
    </x:row>
    <x:row r="12">
      <x:c r="A12" s="30" t="str">
        <x:v>Controlled tests</x:v>
      </x:c>
      <x:c r="B12" t="n">
        <x:f>COUNTA('Test Coverage'!A2:A100)</x:f>
        <x:v>32</x:v>
      </x:c>
      <x:c r="D12" s="42"/>
      <x:c r="E12" s="42"/>
      <x:c r="F12" s="42"/>
      <x:c r="G12" s="42"/>
      <x:c r="H12" s="42"/>
    </x:row>
    <x:row r="13">
      <x:c r="A13" s="30" t="str">
        <x:v>Open native gates</x:v>
      </x:c>
      <x:c r="B13" t="n">
        <x:v>4</x:v>
      </x:c>
      <x:c r="D13" s="42"/>
      <x:c r="E13" s="42"/>
      <x:c r="F13" s="42"/>
      <x:c r="G13" s="42"/>
      <x:c r="H13" s="42"/>
    </x:row>
  </x:sheetData>
  <x:mergeCells>
    <x:mergeCell ref="A1:H2"/>
    <x:mergeCell ref="A3:H3"/>
    <x:mergeCell ref="D5:H5"/>
    <x:mergeCell ref="D6:H13"/>
  </x:mergeCells>
  <x:pageMargins left="0.7" right="0.7" top="0.75" bottom="0.75" header="0.3" footer="0.3"/>
</x:worksheet>
</file>