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Network Nodes" sheetId="8" r:id="rId11"/>
    <x:sheet xmlns:r="http://schemas.openxmlformats.org/officeDocument/2006/relationships" name="Terminal Plan" sheetId="9" r:id="rId12"/>
    <x:sheet xmlns:r="http://schemas.openxmlformats.org/officeDocument/2006/relationships" name="Point-to-Point" sheetId="10" r:id="rId13"/>
    <x:sheet xmlns:r="http://schemas.openxmlformats.org/officeDocument/2006/relationships" name="Cable Schedule" sheetId="11" r:id="rId14"/>
    <x:sheet xmlns:r="http://schemas.openxmlformats.org/officeDocument/2006/relationships" name="Wire List" sheetId="12" r:id="rId15"/>
    <x:sheet xmlns:r="http://schemas.openxmlformats.org/officeDocument/2006/relationships" name="BOM" sheetId="13" r:id="rId16"/>
    <x:sheet xmlns:r="http://schemas.openxmlformats.org/officeDocument/2006/relationships" name="Load Budget" sheetId="14" r:id="rId17"/>
    <x:sheet xmlns:r="http://schemas.openxmlformats.org/officeDocument/2006/relationships" name="Panel Placement" sheetId="15" r:id="rId18"/>
    <x:sheet xmlns:r="http://schemas.openxmlformats.org/officeDocument/2006/relationships" name="Requirements Trace" sheetId="16" r:id="rId19"/>
    <x:sheet xmlns:r="http://schemas.openxmlformats.org/officeDocument/2006/relationships" name="Test Coverage" sheetId="17" r:id="rId20"/>
    <x:sheet xmlns:r="http://schemas.openxmlformats.org/officeDocument/2006/relationships" name="Input Requests" sheetId="18" r:id="rId21"/>
    <x:sheet xmlns:r="http://schemas.openxmlformats.org/officeDocument/2006/relationships" name="Acceptance Gates" sheetId="19" r:id="rId22"/>
    <x:sheet xmlns:r="http://schemas.openxmlformats.org/officeDocument/2006/relationships" name="Release Summary" sheetId="20" r:id="rId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F28" headerRowCount="1" totalsRowCount="0" totalsRowShown="0">
  <x:autoFilter ref="A1:F28"/>
  <x:tableColumns count="6">
    <x:tableColumn id="1" name="signal"/>
    <x:tableColumn id="2" name="data_type"/>
    <x:tableColumn id="3" name="owner"/>
    <x:tableColumn id="4" name="meaning"/>
    <x:tableColumn id="5" name="transport"/>
    <x:tableColumn id="6" name="timeout_m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LoadBudgetTable" displayName="LoadBudgetTable" ref="A1:F8" headerRowCount="1" totalsRowCount="0" totalsRowShown="0">
  <x:autoFilter ref="A1:F8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quirementsTraceTable" displayName="RequirementsTraceTable" ref="A1:G26" headerRowCount="1" totalsRowCount="0" totalsRowShown="0">
  <x:autoFilter ref="A1:G2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estCoverageTable" displayName="TestCoverageTable" ref="A1:F33" headerRowCount="1" totalsRowCount="0" totalsRowShown="0">
  <x:autoFilter ref="A1:F33"/>
  <x:tableColumns count="6">
    <x:tableColumn id="1" name="test_id"/>
    <x:tableColumn id="2" name="scenario"/>
    <x:tableColumn id="3" name="method"/>
    <x:tableColumn id="4" name="expected"/>
    <x:tableColumn id="5" name="native_plcsim"/>
    <x:tableColumn id="6" name="evidence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putRequestsTable" displayName="InputRequestsTable" ref="A1:G28" headerRowCount="1" totalsRowCount="0" totalsRowShown="0">
  <x:autoFilter ref="A1:G28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/>
      <x:c r="J8" s="6" t="str"/>
      <x:c r="K8" s="6" t="str"/>
      <x:c r="L8" s="6" t="str">
        <x:v>Rating, envelope and clearances blocked by motor/mechanics and native Startdrive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/>
      <x:c r="J9" s="6" t="str"/>
      <x:c r="K9" s="6" t="str"/>
      <x:c r="L9" s="6" t="str">
        <x:v>Rating, envelope and clearances blocked by pump curve and motor data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/>
      <x:c r="J11" s="6" t="str">
        <x:v>147</x:v>
      </x:c>
      <x:c r="K11" s="6" t="str">
        <x:v>127</x:v>
      </x:c>
      <x:c r="L11" s="6" t="str">
        <x:v>Exact width and site policy remain procurement/native gates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/>
      <x:c r="J12" s="6" t="str"/>
      <x:c r="K12" s="6" t="str"/>
      <x:c r="L12" s="6" t="str">
        <x:v>Carrier, thermals, power, EMC and lifecycle are open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subscribed/published node</x:v>
      </x:c>
      <x:c r="F2" s="6" t="str">
        <x:v>0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One-shot request</x:v>
      </x:c>
      <x:c r="E3" s="6" t="str">
        <x:v>OPC UA subscribed/published node</x:v>
      </x:c>
      <x:c r="F3" s="6" t="str">
        <x:v>0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subscribed/published node</x:v>
      </x:c>
      <x:c r="F4" s="6" t="str">
        <x:v>0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subscribed/published node</x:v>
      </x:c>
      <x:c r="F5" s="6" t="str">
        <x:v>0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subscribed/published node</x:v>
      </x:c>
      <x:c r="F6" s="6" t="str">
        <x:v>0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subscribed/published node</x:v>
      </x:c>
      <x:c r="F7" s="6" t="str">
        <x:v>0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subscribed/published node</x:v>
      </x:c>
      <x:c r="F8" s="6" t="str">
        <x:v>0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subscribed/published node</x:v>
      </x:c>
      <x:c r="F9" s="6" t="str">
        <x:v>0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subscribed/published node</x:v>
      </x:c>
      <x:c r="F10" s="6" t="str">
        <x:v>0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subscribed/published node</x:v>
      </x:c>
      <x:c r="F11" s="6" t="str">
        <x:v>1000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subscribed/published node</x:v>
      </x:c>
      <x:c r="F12" s="6" t="str">
        <x:v>0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subscribed/published node</x:v>
      </x:c>
      <x:c r="F13" s="6" t="str">
        <x:v>0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subscribed/published node</x:v>
      </x:c>
      <x:c r="F14" s="6" t="str">
        <x:v>0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subscribed/published node</x:v>
      </x:c>
      <x:c r="F15" s="6" t="str">
        <x:v>0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subscribed/published node</x:v>
      </x:c>
      <x:c r="F16" s="6" t="str">
        <x:v>0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subscribed/published node</x:v>
      </x:c>
      <x:c r="F17" s="6" t="str">
        <x:v>0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subscribed/published node</x:v>
      </x:c>
      <x:c r="F18" s="6" t="str">
        <x:v>0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subscribed/published node</x:v>
      </x:c>
      <x:c r="F19" s="6" t="str">
        <x:v>0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subscribed/published node</x:v>
      </x:c>
      <x:c r="F20" s="6" t="str">
        <x:v>0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subscribed/published node</x:v>
      </x:c>
      <x:c r="F21" s="6" t="str">
        <x:v>0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subscribed/published node</x:v>
      </x:c>
      <x:c r="F22" s="6" t="str">
        <x:v>1000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subscribed node</x:v>
      </x:c>
      <x:c r="F23" s="6" t="str">
        <x:v>0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subscribed node</x:v>
      </x:c>
      <x:c r="F24" s="6" t="str">
        <x:v>0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published result payload</x:v>
      </x:c>
      <x:c r="F25" s="6" t="str">
        <x:v>0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published node</x:v>
      </x:c>
      <x:c r="F26" s="6" t="str">
        <x:v>0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published result payload</x:v>
      </x:c>
      <x:c r="F27" s="6" t="str">
        <x:v>0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published result payload</x:v>
      </x:c>
      <x:c r="F28" s="6" t="str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+ camera + lighting</x:v>
      </x:c>
      <x:c r="B5" s="6" t="str">
        <x:v>24 VDC</x:v>
      </x:c>
      <x:c r="C5" s="6" t="str">
        <x:v>100</x:v>
      </x:c>
      <x:c r="D5" s="6" t="str">
        <x:v>1.0</x:v>
      </x:c>
      <x:c r="E5" s="6" t="str">
        <x:v>100</x:v>
      </x:c>
      <x:c r="F5" s="6" t="str">
        <x:v>Placeholder pending selected carrier/camera</x:v>
      </x:c>
    </x:row>
    <x:row r="6" ht="54" customHeight="1">
      <x:c r="A6" s="6" t="str">
        <x:v>24 VDC subtotal</x:v>
      </x:c>
      <x:c r="B6" s="6" t="str">
        <x:v>24 VDC</x:v>
      </x:c>
      <x:c r="C6" s="6" t="str">
        <x:v>329</x:v>
      </x:c>
      <x:c r="D6" s="6" t="str">
        <x:v>N/A</x:v>
      </x:c>
      <x:c r="E6" s="6" t="str">
        <x:v>299</x:v>
      </x:c>
      <x:c r="F6" s="6" t="str">
        <x:v>12.458 A demand; 20 A concept leaves 7.542 A (37.71% of rating) unused; minimum 15.573 A for 25% demand margin before inrush/derating</x:v>
      </x:c>
    </x:row>
    <x:row r="7" ht="54" customHeight="1">
      <x:c r="A7" s="6" t="str">
        <x:v>Conveyor drive</x:v>
      </x:c>
      <x:c r="B7" s="6" t="str">
        <x:v>400 VAC</x:v>
      </x:c>
      <x:c r="C7" s="6" t="str">
        <x:v>750</x:v>
      </x:c>
      <x:c r="D7" s="6" t="str">
        <x:v>1.0</x:v>
      </x:c>
      <x:c r="E7" s="6" t="str">
        <x:v>750</x:v>
      </x:c>
      <x:c r="F7" s="6" t="str">
        <x:v>Motor nameplate not supplied</x:v>
      </x:c>
    </x:row>
    <x:row r="8" ht="54" customHeight="1">
      <x:c r="A8" s="6" t="str">
        <x:v>Pump drive</x:v>
      </x:c>
      <x:c r="B8" s="6" t="str">
        <x:v>400 VAC</x:v>
      </x:c>
      <x:c r="C8" s="6" t="str">
        <x:v>750</x:v>
      </x:c>
      <x:c r="D8" s="6" t="str">
        <x:v>1.0</x:v>
      </x:c>
      <x:c r="E8" s="6" t="str">
        <x:v>750</x:v>
      </x:c>
      <x:c r="F8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120</x:v>
      </x:c>
      <x:c r="C2" s="6" t="str">
        <x:v>90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Controls</x:v>
      </x:c>
      <x:c r="J2" s="6" t="str">
        <x:v>25</x:v>
      </x:c>
      <x:c r="K2" s="6" t="str">
        <x:v>25</x:v>
      </x:c>
      <x:c r="L2" s="6" t="str">
        <x:v>15</x:v>
      </x:c>
      <x:c r="M2" s="6" t="str">
        <x:v>Manufacturer data required</x:v>
      </x:c>
      <x:c r="N2" s="6" t="str">
        <x:v>Official Siemens data sheet</x:v>
      </x:c>
      <x:c r="O2" s="6" t="str">
        <x:v>Coordinate reserved; native CAD and clearance verification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185</x:v>
      </x:c>
      <x:c r="C3" s="6" t="str">
        <x:v>90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Controls</x:v>
      </x:c>
      <x:c r="J3" s="6" t="str">
        <x:v>25</x:v>
      </x:c>
      <x:c r="K3" s="6" t="str">
        <x:v>25</x:v>
      </x:c>
      <x:c r="L3" s="6" t="str">
        <x:v>15</x:v>
      </x:c>
      <x:c r="M3" s="6" t="str">
        <x:v>Manufacturer data required</x:v>
      </x:c>
      <x:c r="N3" s="6" t="str">
        <x:v>Official Siemens data sheet</x:v>
      </x:c>
      <x:c r="O3" s="6" t="str">
        <x:v>Coordinate reserved; native CAD and clearance verification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250</x:v>
      </x:c>
      <x:c r="C4" s="6" t="str">
        <x:v>90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Controls</x:v>
      </x:c>
      <x:c r="J4" s="6" t="str">
        <x:v>25</x:v>
      </x:c>
      <x:c r="K4" s="6" t="str">
        <x:v>25</x:v>
      </x:c>
      <x:c r="L4" s="6" t="str">
        <x:v>15</x:v>
      </x:c>
      <x:c r="M4" s="6" t="str">
        <x:v>Manufacturer data required</x:v>
      </x:c>
      <x:c r="N4" s="6" t="str">
        <x:v>Official Siemens data sheet</x:v>
      </x:c>
      <x:c r="O4" s="6" t="str">
        <x:v>Coordinate reserved; native CAD and clearance verification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315</x:v>
      </x:c>
      <x:c r="C5" s="6" t="str">
        <x:v>90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Controls</x:v>
      </x:c>
      <x:c r="J5" s="6" t="str">
        <x:v>25</x:v>
      </x:c>
      <x:c r="K5" s="6" t="str">
        <x:v>25</x:v>
      </x:c>
      <x:c r="L5" s="6" t="str">
        <x:v>15</x:v>
      </x:c>
      <x:c r="M5" s="6" t="str">
        <x:v>Manufacturer data required</x:v>
      </x:c>
      <x:c r="N5" s="6" t="str">
        <x:v>Official Siemens data sheet</x:v>
      </x:c>
      <x:c r="O5" s="6" t="str">
        <x:v>Coordinate reserved; native CAD and clearance verification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380</x:v>
      </x:c>
      <x:c r="C6" s="6" t="str">
        <x:v>90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Analog</x:v>
      </x:c>
      <x:c r="J6" s="6" t="str">
        <x:v>25</x:v>
      </x:c>
      <x:c r="K6" s="6" t="str">
        <x:v>25</x:v>
      </x:c>
      <x:c r="L6" s="6" t="str">
        <x:v>15</x:v>
      </x:c>
      <x:c r="M6" s="6" t="str">
        <x:v>Manufacturer data required</x:v>
      </x:c>
      <x:c r="N6" s="6" t="str">
        <x:v>Official Siemens data sheet</x:v>
      </x:c>
      <x:c r="O6" s="6" t="str">
        <x:v>Coordinate reserved; native CAD and clearance verification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290</x:v>
      </x:c>
      <x:c r="C7" s="6" t="str">
        <x:v>200</x:v>
      </x:c>
      <x:c r="D7" s="6" t="str">
        <x:v>214</x:v>
      </x:c>
      <x:c r="E7" s="6" t="str">
        <x:v>158</x:v>
      </x:c>
      <x:c r="F7" s="6" t="str">
        <x:v>63.6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25</x:v>
      </x:c>
      <x:c r="K7" s="6" t="str">
        <x:v>25</x:v>
      </x:c>
      <x:c r="L7" s="6" t="str">
        <x:v>15</x:v>
      </x:c>
      <x:c r="M7" s="6" t="str">
        <x:v>Manufacturer data required</x:v>
      </x:c>
      <x:c r="N7" s="6" t="str">
        <x:v>Official Siemens data sheet</x:v>
      </x:c>
      <x:c r="O7" s="6" t="str">
        <x:v>Coordinate reserved; native CAD and clearance verification open</x:v>
      </x:c>
      <x:c r="P7" s="6" t="str">
        <x:v>=FC01+CP01-H100</x:v>
      </x:c>
    </x:row>
    <x:row r="8" ht="54" customHeight="1">
      <x:c r="A8" s="6" t="str">
        <x:v>-U100</x:v>
      </x:c>
      <x:c r="B8" s="6" t="str">
        <x:v>120</x:v>
      </x:c>
      <x:c r="C8" s="6" t="str">
        <x:v>430</x:v>
      </x:c>
      <x:c r="D8" s="6" t="str"/>
      <x:c r="E8" s="6" t="str"/>
      <x:c r="F8" s="6" t="str"/>
      <x:c r="G8" s="6" t="str">
        <x:v>Mounting plate</x:v>
      </x:c>
      <x:c r="H8" s="6" t="str">
        <x:v>Vertical unless manufacturer requires otherwise</x:v>
      </x:c>
      <x:c r="I8" s="6" t="str">
        <x:v>VFD heat zone</x:v>
      </x:c>
      <x:c r="J8" s="6" t="str">
        <x:v>100</x:v>
      </x:c>
      <x:c r="K8" s="6" t="str">
        <x:v>100</x:v>
      </x:c>
      <x:c r="L8" s="6" t="str">
        <x:v>50</x:v>
      </x:c>
      <x:c r="M8" s="6" t="str">
        <x:v>TBD</x:v>
      </x:c>
      <x:c r="N8" s="6" t="str">
        <x:v>OPEN - exact selected-device envelope unavailable</x:v>
      </x:c>
      <x:c r="O8" s="6" t="str">
        <x:v>Coordinate reserved; native CAD and clearance verification open</x:v>
      </x:c>
      <x:c r="P8" s="6" t="str">
        <x:v>=FC01+CP01-U100</x:v>
      </x:c>
    </x:row>
    <x:row r="9" ht="54" customHeight="1">
      <x:c r="A9" s="6" t="str">
        <x:v>-U101</x:v>
      </x:c>
      <x:c r="B9" s="6" t="str">
        <x:v>370</x:v>
      </x:c>
      <x:c r="C9" s="6" t="str">
        <x:v>430</x:v>
      </x:c>
      <x:c r="D9" s="6" t="str"/>
      <x:c r="E9" s="6" t="str"/>
      <x:c r="F9" s="6" t="str"/>
      <x:c r="G9" s="6" t="str">
        <x:v>Mounting plate</x:v>
      </x:c>
      <x:c r="H9" s="6" t="str">
        <x:v>Vertical unless manufacturer requires otherwise</x:v>
      </x:c>
      <x:c r="I9" s="6" t="str">
        <x:v>VFD heat zone</x:v>
      </x:c>
      <x:c r="J9" s="6" t="str">
        <x:v>100</x:v>
      </x:c>
      <x:c r="K9" s="6" t="str">
        <x:v>100</x:v>
      </x:c>
      <x:c r="L9" s="6" t="str">
        <x:v>50</x:v>
      </x:c>
      <x:c r="M9" s="6" t="str">
        <x:v>TBD</x:v>
      </x:c>
      <x:c r="N9" s="6" t="str">
        <x:v>OPEN - exact selected-device envelope unavailable</x:v>
      </x:c>
      <x:c r="O9" s="6" t="str">
        <x:v>Coordinate reserved; native CAD and clearance verification open</x:v>
      </x:c>
      <x:c r="P9" s="6" t="str">
        <x:v>=FC01+CP01-U101</x:v>
      </x:c>
    </x:row>
    <x:row r="10" ht="54" customHeight="1">
      <x:c r="A10" s="6" t="str">
        <x:v>-SW100</x:v>
      </x:c>
      <x:c r="B10" s="6" t="str">
        <x:v>450</x:v>
      </x:c>
      <x:c r="C10" s="6" t="str">
        <x:v>90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15</x:v>
      </x:c>
      <x:c r="M10" s="6" t="str">
        <x:v>Manufacturer data required</x:v>
      </x:c>
      <x:c r="N10" s="6" t="str">
        <x:v>Official Siemens data sheet</x:v>
      </x:c>
      <x:c r="O10" s="6" t="str">
        <x:v>Coordinate reserved; native CAD and clearance verification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540</x:v>
      </x:c>
      <x:c r="C11" s="6" t="str">
        <x:v>90</x:v>
      </x:c>
      <x:c r="D11" s="6" t="str"/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15</x:v>
      </x:c>
      <x:c r="M11" s="6" t="str">
        <x:v>Manufacturer data required</x:v>
      </x:c>
      <x:c r="N11" s="6" t="str">
        <x:v>OPEN - exact selected-device envelope unavailable</x:v>
      </x:c>
      <x:c r="O11" s="6" t="str">
        <x:v>Coordinate reserved; native CAD and clearance verification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600</x:v>
      </x:c>
      <x:c r="C12" s="6" t="str">
        <x:v>250</x:v>
      </x:c>
      <x:c r="D12" s="6" t="str"/>
      <x:c r="E12" s="6" t="str"/>
      <x:c r="F12" s="6" t="str"/>
      <x:c r="G12" s="6" t="str">
        <x:v>DIN rail / shelf</x:v>
      </x:c>
      <x:c r="H12" s="6" t="str">
        <x:v>Vertical unless manufacturer requires otherwise</x:v>
      </x:c>
      <x:c r="I12" s="6" t="str">
        <x:v>Vision</x:v>
      </x:c>
      <x:c r="J12" s="6" t="str">
        <x:v>25</x:v>
      </x:c>
      <x:c r="K12" s="6" t="str">
        <x:v>25</x:v>
      </x:c>
      <x:c r="L12" s="6" t="str">
        <x:v>15</x:v>
      </x:c>
      <x:c r="M12" s="6" t="str">
        <x:v>TBD</x:v>
      </x:c>
      <x:c r="N12" s="6" t="str">
        <x:v>OPEN - exact selected-device envelope unavailable</x:v>
      </x:c>
      <x:c r="O12" s="6" t="str">
        <x:v>Coordinate reserved; native CAD and clearance verification open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120</x:v>
      </x:c>
      <x:c r="C13" s="6" t="str">
        <x:v>755</x:v>
      </x:c>
      <x:c r="D13" s="6" t="str">
        <x:v>630</x:v>
      </x:c>
      <x:c r="E13" s="6" t="str">
        <x:v>25</x:v>
      </x:c>
      <x:c r="F13" s="6" t="str">
        <x:v>25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20</x:v>
      </x:c>
      <x:c r="K13" s="6" t="str">
        <x:v>20</x:v>
      </x:c>
      <x:c r="L13" s="6" t="str">
        <x:v>20</x:v>
      </x:c>
      <x:c r="M13" s="6" t="str">
        <x:v>0</x:v>
      </x:c>
      <x:c r="N13" s="6" t="str">
        <x:v>Provisional bar envelope</x:v>
      </x:c>
      <x:c r="O13" s="6" t="str">
        <x:v>Final PE sizing open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120</x:v>
      </x:c>
      <x:c r="C14" s="6" t="str">
        <x:v>650</x:v>
      </x:c>
      <x:c r="D14" s="6" t="str">
        <x:v>630</x:v>
      </x:c>
      <x:c r="E14" s="6" t="str">
        <x:v>50</x:v>
      </x:c>
      <x:c r="F14" s="6" t="str">
        <x:v>70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40</x:v>
      </x:c>
      <x:c r="K14" s="6" t="str">
        <x:v>30</x:v>
      </x:c>
      <x:c r="L14" s="6" t="str">
        <x:v>20</x:v>
      </x:c>
      <x:c r="M14" s="6" t="str">
        <x:v>0</x:v>
      </x:c>
      <x:c r="N14" s="6" t="str">
        <x:v>Reserved terminal-row envelope</x:v>
      </x:c>
      <x:c r="O14" s="6" t="str">
        <x:v>Terminal family and count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50</x:v>
      </x:c>
      <x:c r="C15" s="6" t="str">
        <x:v>50</x:v>
      </x:c>
      <x:c r="D15" s="6" t="str">
        <x:v>40</x:v>
      </x:c>
      <x:c r="E15" s="6" t="str">
        <x:v>540</x:v>
      </x:c>
      <x:c r="F15" s="6" t="str">
        <x:v>60</x:v>
      </x:c>
      <x:c r="G15" s="6" t="str">
        <x:v>Mounting plate</x:v>
      </x:c>
      <x:c r="H15" s="6" t="str">
        <x:v>Vertical duct</x:v>
      </x:c>
      <x:c r="I15" s="6" t="str">
        <x:v>24 VDC routing</x:v>
      </x:c>
      <x:c r="J15" s="6" t="str">
        <x:v>0</x:v>
      </x:c>
      <x:c r="K15" s="6" t="str">
        <x:v>0</x:v>
      </x:c>
      <x:c r="L15" s="6" t="str">
        <x:v>15</x:v>
      </x:c>
      <x:c r="M15" s="6" t="str">
        <x:v>0</x:v>
      </x:c>
      <x:c r="N15" s="6" t="str">
        <x:v>Provisional routing reserve</x:v>
      </x:c>
      <x:c r="O15" s="6" t="str">
        <x:v>Duct fill calculation open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scenario traces and 20 unit/property tests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Revision-D canonical/source/schedule validation suite; the executed report records the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13_documentation/backup_restore.md;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FreeCAD installation and qualified panel-CAD reviewer</x:v>
      </x:c>
      <x:c r="C20" s="6" t="str">
        <x:v>Electrical owner</x:v>
      </x:c>
      <x:c r="D20" s="6" t="str">
        <x:v>Revision-D FCStd/exchange validation</x:v>
      </x:c>
      <x:c r="E20" s="6" t="str">
        <x:v>OPEN</x:v>
      </x:c>
      <x:c r="F20" s="6" t="str">
        <x:v>2026-08-02</x:v>
      </x:c>
      <x:c r="G20" s="6" t="str">
        <x:v>Approved source document or native evidence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Usable QElectroTech installation and qualified electrical schematic reviewer</x:v>
      </x:c>
      <x:c r="C22" s="6" t="str">
        <x:v>Electrical owner</x:v>
      </x:c>
      <x:c r="D22" s="6" t="str">
        <x:v>Revision-D schematic authoring, reopen, export and review</x:v>
      </x:c>
      <x:c r="E22" s="6" t="str">
        <x:v>OPEN</x:v>
      </x:c>
      <x:c r="F22" s="6" t="str">
        <x:v>2026-08-02</x:v>
      </x:c>
      <x:c r="G22" s="6" t="str">
        <x:v>Approved source document or native evidence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24 V branch load currents, inrush profiles and selected protection-device data</x:v>
      </x:c>
      <x:c r="C24" s="6" t="str">
        <x:v>Electrical/vendor</x:v>
      </x:c>
      <x:c r="D24" s="6" t="str">
        <x:v>PSU transient margin and branch protection coordination</x:v>
      </x:c>
      <x:c r="E24" s="6" t="str">
        <x:v>OPEN</x:v>
      </x:c>
      <x:c r="F24" s="6" t="str">
        <x:v>2026-08-02</x:v>
      </x:c>
      <x:c r="G24" s="6" t="str">
        <x:v>Approved source document or native evidence</x:v>
      </x:c>
    </x:row>
    <x:row r="25" ht="54" customHeight="1">
      <x:c r="A25" s="6" t="str">
        <x:v>IR-024</x:v>
      </x:c>
      <x:c r="B25" s="6" t="str">
        <x:v>Enclosure material/size/IP, ambient/altitude/solar exposure and verified device loss data</x:v>
      </x:c>
      <x:c r="C25" s="6" t="str">
        <x:v>Site/mechanical/vendor</x:v>
      </x:c>
      <x:c r="D25" s="6" t="str">
        <x:v>Panel thermal assessment and fan/filter selection</x:v>
      </x:c>
      <x:c r="E25" s="6" t="str">
        <x:v>OPEN</x:v>
      </x:c>
      <x:c r="F25" s="6" t="str">
        <x:v>2026-08-02</x:v>
      </x:c>
      <x:c r="G25" s="6" t="str">
        <x:v>Approved source document or native evidence</x:v>
      </x:c>
    </x:row>
    <x:row r="26" ht="54" customHeight="1">
      <x:c r="A26" s="6" t="str">
        <x:v>IR-025</x:v>
      </x:c>
      <x:c r="B26" s="6" t="str">
        <x:v>Approved terminal family, jumpers, test/disconnect, PE and spare-position policy</x:v>
      </x:c>
      <x:c r="C26" s="6" t="str">
        <x:v>Electrical owner</x:v>
      </x:c>
      <x:c r="D26" s="6" t="str">
        <x:v>Terminal quantity, width, bridges and placement release</x:v>
      </x:c>
      <x:c r="E26" s="6" t="str">
        <x:v>OPEN</x:v>
      </x:c>
      <x:c r="F26" s="6" t="str">
        <x:v>2026-08-02</x:v>
      </x:c>
      <x:c r="G26" s="6" t="str">
        <x:v>Approved source document or native evidence</x:v>
      </x:c>
    </x:row>
    <x:row r="27" ht="54" customHeight="1">
      <x:c r="A27" s="6" t="str">
        <x:v>IR-026</x:v>
      </x:c>
      <x:c r="B27" s="6" t="str">
        <x:v>Approved PE/FE/0 V/MANA bonding and EMC-zone/shield termination policy</x:v>
      </x:c>
      <x:c r="C27" s="6" t="str">
        <x:v>Site electrical/EMC authority</x:v>
      </x:c>
      <x:c r="D27" s="6" t="str">
        <x:v>Bonding topology and shield/return release</x:v>
      </x:c>
      <x:c r="E27" s="6" t="str">
        <x:v>OPEN</x:v>
      </x:c>
      <x:c r="F27" s="6" t="str">
        <x:v>2026-08-02</x:v>
      </x:c>
      <x:c r="G27" s="6" t="str">
        <x:v>Approved source document or native evidence</x:v>
      </x:c>
    </x:row>
    <x:row r="28" ht="54" customHeight="1">
      <x:c r="A28" s="6" t="str">
        <x:v>IR-027</x:v>
      </x:c>
      <x:c r="B28" s="6" t="str">
        <x:v>Source transformer/impedance and component interrupt/SCCR data</x:v>
      </x:c>
      <x:c r="C28" s="6" t="str">
        <x:v>Site electrical engineer</x:v>
      </x:c>
      <x:c r="D28" s="6" t="str">
        <x:v>Prospective fault current and assembly SCCR assessment</x:v>
      </x:c>
      <x:c r="E28" s="6" t="str">
        <x:v>OPEN</x:v>
      </x:c>
      <x:c r="F28" s="6" t="str">
        <x:v>2026-08-02</x:v>
      </x:c>
      <x:c r="G28" s="6" t="str">
        <x:v>Approved source document or native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Controlled model and tests present; owner approval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PASS</x:v>
      </x:c>
      <x:c r="D3" s="6" t="str">
        <x:v>Revision-D deterministic validator and source-parity checks pass; see current automated report for count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V20/FW4.0 design baseline documented; native catalog and delivered state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No genuine AP20 project created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created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Static source lint only; native compile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WinCC project not created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not installed and motor data absent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 not installed; Python simulator is independent evidence</x:v>
      </x:c>
    </x:row>
    <x:row r="11" ht="54" customHeight="1">
      <x:c r="A11" s="6" t="str">
        <x:v>10</x:v>
      </x:c>
      <x:c r="B11" s="6" t="str">
        <x:v>Revision-D QET reopens and reconciles</x:v>
      </x:c>
      <x:c r="C11" s="6" t="str">
        <x:v>BLOCKED</x:v>
      </x:c>
      <x:c r="D11" s="6" t="str">
        <x:v>No runnable QElectroTech found; historical revision-A native baseline only</x:v>
      </x:c>
    </x:row>
    <x:row r="12" ht="54" customHeight="1">
      <x:c r="A12" s="6" t="str">
        <x:v>11</x:v>
      </x:c>
      <x:c r="B12" s="6" t="str">
        <x:v>Schematics visual review</x:v>
      </x:c>
      <x:c r="C12" s="6" t="str">
        <x:v>BLOCKED</x:v>
      </x:c>
      <x:c r="D12" s="6" t="str">
        <x:v>Revision-D native schematics do not exist</x:v>
      </x:c>
    </x:row>
    <x:row r="13" ht="54" customHeight="1">
      <x:c r="A13" s="6" t="str">
        <x:v>12</x:v>
      </x:c>
      <x:c r="B13" s="6" t="str">
        <x:v>Revision-D FCStd reopens</x:v>
      </x:c>
      <x:c r="C13" s="6" t="str">
        <x:v>BLOCKED</x:v>
      </x:c>
      <x:c r="D13" s="6" t="str">
        <x:v>No runnable FreeCAD found; historical baseline only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BLOCKED</x:v>
      </x:c>
      <x:c r="D14" s="6" t="str">
        <x:v>Revision-D exchange files do not exist and FreeCAD is absent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Expanded controlled schedules; unresolved selections and native CAD remain open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Site supply, fault current, loads and environmental inputs missing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No real dataset supplied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No dataset or TAO runtime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No selected target carrier/runtime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PASS</x:v>
      </x:c>
      <x:c r="D20" s="6" t="str">
        <x:v>Local source-design scope: simulator, 32 scenarios, edge service, interface harness and Revision-D independent interface-oracle tests pass; native integration remains blocked under gates 9 and 18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Procedures issued, never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External qualified work required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PASS</x:v>
      </x:c>
      <x:c r="D23" s="6" t="str">
        <x:v>Final deterministic JSON/CSV verifier reports zero missing, unlisted or mismatched files on the frozen release tree; regenerate after any file change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—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— NOT FOR CONSTRUCTION | Revision D | Professional controlled engineering-development package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— REQUIRES PROJECT-SPECIFIC RISK ASSESSMENT, DESIGN, VERIFICATION AND VALIDATION BY A QUALIFIED MACHINERY-SAFETY ENGINEER. NO PERFORMANCE LEVEL, SIL, CATEGORY, CE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Native TIA/WinCC/Startdrive/PLCSIM, trained NVIDIA model, Revision-D QElectroTech and Revision-D panel CAD remain blocked. Historical native electrical/CAD files are quarantined baselines. No construction, safety, native compile, FAT, SAT or model-performance claim is made.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27</x:v>
      </x:c>
      <x:c r="D11" s="46"/>
      <x:c r="E11" s="46"/>
      <x:c r="F11" s="46"/>
      <x:c r="G11" s="46"/>
      <x:c r="H11" s="46"/>
    </x:row>
    <x:row r="12">
      <x:c r="A12" s="36" t="str">
        <x:v>Controlled tests</x:v>
      </x:c>
      <x:c r="B12" t="n">
        <x:f>COUNTA('Test Coverage'!A2:A100)</x:f>
        <x:v>32</x:v>
      </x:c>
      <x:c r="D12" s="46"/>
      <x:c r="E12" s="46"/>
      <x:c r="F12" s="46"/>
      <x:c r="G12" s="46"/>
      <x:c r="H12" s="46"/>
    </x:row>
    <x:row r="13">
      <x:c r="A13" s="36" t="str">
        <x:v>Open/blocked gates</x:v>
      </x:c>
      <x:c r="B13" t="n">
        <x:f>COUNTIF('Acceptance Gates'!C2:C100,"BLOCKED")+COUNTIF('Acceptance Gates'!C2:C100,"OPEN")</x:f>
        <x:v>16</x:v>
      </x:c>
      <x:c r="D13" s="46"/>
      <x:c r="E13" s="46"/>
      <x:c r="F13" s="46"/>
      <x:c r="G13" s="46"/>
      <x:c r="H13" s="46"/>
    </x:row>
    <x:row r="14">
      <x:c r="A14" s="36" t="str">
        <x:v>24 VDC demand (W)</x:v>
      </x:c>
      <x:c r="B14" t="n">
        <x:f>55+24+120+100</x:f>
        <x:v>299</x:v>
      </x:c>
    </x:row>
    <x:row r="15">
      <x:c r="A15" s="36" t="str">
        <x:v>Minimum current for 25% margin (A)</x:v>
      </x:c>
      <x:c r="B15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3"/>
  </x:mergeCells>
  <x:pageMargins left="0.7" right="0.7" top="0.75" bottom="0.75" header="0.3" footer="0.3"/>
</x:worksheet>
</file>