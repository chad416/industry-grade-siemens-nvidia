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emens Hardware" sheetId="1" r:id="rId4"/>
    <x:sheet xmlns:r="http://schemas.openxmlformats.org/officeDocument/2006/relationships" name="PLC I-O" sheetId="2" r:id="rId5"/>
    <x:sheet xmlns:r="http://schemas.openxmlformats.org/officeDocument/2006/relationships" name="Drive PZD" sheetId="3" r:id="rId6"/>
    <x:sheet xmlns:r="http://schemas.openxmlformats.org/officeDocument/2006/relationships" name="HMI Tags" sheetId="4" r:id="rId7"/>
    <x:sheet xmlns:r="http://schemas.openxmlformats.org/officeDocument/2006/relationships" name="Alarms" sheetId="5" r:id="rId8"/>
    <x:sheet xmlns:r="http://schemas.openxmlformats.org/officeDocument/2006/relationships" name="VFD Parameters" sheetId="6" r:id="rId9"/>
    <x:sheet xmlns:r="http://schemas.openxmlformats.org/officeDocument/2006/relationships" name="NVIDIA Interface" sheetId="7" r:id="rId10"/>
    <x:sheet xmlns:r="http://schemas.openxmlformats.org/officeDocument/2006/relationships" name="Vision Requirements" sheetId="8" r:id="rId11"/>
    <x:sheet xmlns:r="http://schemas.openxmlformats.org/officeDocument/2006/relationships" name="Vision Fault Matrix" sheetId="9" r:id="rId12"/>
    <x:sheet xmlns:r="http://schemas.openxmlformats.org/officeDocument/2006/relationships" name="NVIDIA Electrical" sheetId="10" r:id="rId13"/>
    <x:sheet xmlns:r="http://schemas.openxmlformats.org/officeDocument/2006/relationships" name="NVIDIA Versions" sheetId="11" r:id="rId14"/>
    <x:sheet xmlns:r="http://schemas.openxmlformats.org/officeDocument/2006/relationships" name="Revision-F Gaps" sheetId="12" r:id="rId15"/>
    <x:sheet xmlns:r="http://schemas.openxmlformats.org/officeDocument/2006/relationships" name="Network Nodes" sheetId="13" r:id="rId16"/>
    <x:sheet xmlns:r="http://schemas.openxmlformats.org/officeDocument/2006/relationships" name="Terminal Plan" sheetId="14" r:id="rId17"/>
    <x:sheet xmlns:r="http://schemas.openxmlformats.org/officeDocument/2006/relationships" name="Point-to-Point" sheetId="15" r:id="rId18"/>
    <x:sheet xmlns:r="http://schemas.openxmlformats.org/officeDocument/2006/relationships" name="Cable Schedule" sheetId="16" r:id="rId19"/>
    <x:sheet xmlns:r="http://schemas.openxmlformats.org/officeDocument/2006/relationships" name="Wire List" sheetId="17" r:id="rId20"/>
    <x:sheet xmlns:r="http://schemas.openxmlformats.org/officeDocument/2006/relationships" name="BOM" sheetId="18" r:id="rId21"/>
    <x:sheet xmlns:r="http://schemas.openxmlformats.org/officeDocument/2006/relationships" name="Load Budget" sheetId="19" r:id="rId22"/>
    <x:sheet xmlns:r="http://schemas.openxmlformats.org/officeDocument/2006/relationships" name="Panel Placement" sheetId="20" r:id="rId23"/>
    <x:sheet xmlns:r="http://schemas.openxmlformats.org/officeDocument/2006/relationships" name="Requirements Trace" sheetId="21" r:id="rId24"/>
    <x:sheet xmlns:r="http://schemas.openxmlformats.org/officeDocument/2006/relationships" name="Test Coverage" sheetId="22" r:id="rId25"/>
    <x:sheet xmlns:r="http://schemas.openxmlformats.org/officeDocument/2006/relationships" name="Input Requests" sheetId="23" r:id="rId26"/>
    <x:sheet xmlns:r="http://schemas.openxmlformats.org/officeDocument/2006/relationships" name="Acceptance Gates" sheetId="24" r:id="rId27"/>
    <x:sheet xmlns:r="http://schemas.openxmlformats.org/officeDocument/2006/relationships" name="Document Register" sheetId="25" r:id="rId28"/>
    <x:sheet xmlns:r="http://schemas.openxmlformats.org/officeDocument/2006/relationships" name="Release Summary" sheetId="26" r:id="rI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9"/>
      <x:color rgb="FF15232D"/>
      <x:name val="Carlito"/>
    </x:font>
    <x:font>
      <x:b/>
      <x:sz val="9"/>
      <x:color rgb="FFFFFFFF"/>
      <x:name val="Carlito"/>
    </x:font>
    <x:font>
      <x:b/>
      <x:sz val="18"/>
      <x:color rgb="FFFFFFFF"/>
      <x:name val="Carlito"/>
    </x:font>
    <x:font>
      <x:b/>
      <x:sz val="10"/>
      <x:color rgb="FF324B5C"/>
      <x:name val="Carlito"/>
    </x:font>
    <x:font>
      <x:b/>
      <x:sz val="8"/>
      <x:color rgb="FF8B1E2D"/>
      <x:name val="Carlito"/>
    </x:font>
    <x:font>
      <x:b/>
      <x:sz val="11"/>
      <x:color rgb="FFFFFFFF"/>
      <x:name val="Carlito"/>
    </x:font>
    <x:font>
      <x:b/>
      <x:sz val="11"/>
      <x:color rgb="FF12304A"/>
      <x:name val="Carlito"/>
    </x:font>
    <x:font>
      <x:sz val="10"/>
      <x:color rgb="FF642F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1F5"/>
      </x:patternFill>
    </x:fill>
    <x:fill>
      <x:patternFill patternType="solid">
        <x:fgColor rgb="FFFFF1F1"/>
      </x:patternFill>
    </x:fill>
    <x:fill>
      <x:patternFill patternType="solid">
        <x:fgColor rgb="FF1F6F9F"/>
      </x:patternFill>
    </x:fill>
    <x:fill>
      <x:patternFill patternType="solid">
        <x:fgColor rgb="FFC43D3D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worksheet" Target="/xl/worksheets/sheet8.xml" Id="rId11" /><Relationship Type="http://schemas.openxmlformats.org/officeDocument/2006/relationships/worksheet" Target="/xl/worksheets/sheet9.xml" Id="rId12" /><Relationship Type="http://schemas.openxmlformats.org/officeDocument/2006/relationships/worksheet" Target="/xl/worksheets/sheet10.xml" Id="rId13" /><Relationship Type="http://schemas.openxmlformats.org/officeDocument/2006/relationships/worksheet" Target="/xl/worksheets/sheet11.xml" Id="rId14" /><Relationship Type="http://schemas.openxmlformats.org/officeDocument/2006/relationships/worksheet" Target="/xl/worksheets/sheet12.xml" Id="rId15" /><Relationship Type="http://schemas.openxmlformats.org/officeDocument/2006/relationships/worksheet" Target="/xl/worksheets/sheet13.xml" Id="rId16" /><Relationship Type="http://schemas.openxmlformats.org/officeDocument/2006/relationships/worksheet" Target="/xl/worksheets/sheet14.xml" Id="rId17" /><Relationship Type="http://schemas.openxmlformats.org/officeDocument/2006/relationships/worksheet" Target="/xl/worksheets/sheet15.xml" Id="rId18" /><Relationship Type="http://schemas.openxmlformats.org/officeDocument/2006/relationships/worksheet" Target="/xl/worksheets/sheet16.xml" Id="rId19" /><Relationship Type="http://schemas.openxmlformats.org/officeDocument/2006/relationships/worksheet" Target="/xl/worksheets/sheet17.xml" Id="rId20" /><Relationship Type="http://schemas.openxmlformats.org/officeDocument/2006/relationships/worksheet" Target="/xl/worksheets/sheet18.xml" Id="rId21" /><Relationship Type="http://schemas.openxmlformats.org/officeDocument/2006/relationships/worksheet" Target="/xl/worksheets/sheet19.xml" Id="rId22" /><Relationship Type="http://schemas.openxmlformats.org/officeDocument/2006/relationships/worksheet" Target="/xl/worksheets/sheet20.xml" Id="rId23" /><Relationship Type="http://schemas.openxmlformats.org/officeDocument/2006/relationships/worksheet" Target="/xl/worksheets/sheet21.xml" Id="rId24" /><Relationship Type="http://schemas.openxmlformats.org/officeDocument/2006/relationships/worksheet" Target="/xl/worksheets/sheet22.xml" Id="rId25" /><Relationship Type="http://schemas.openxmlformats.org/officeDocument/2006/relationships/worksheet" Target="/xl/worksheets/sheet23.xml" Id="rId26" /><Relationship Type="http://schemas.openxmlformats.org/officeDocument/2006/relationships/worksheet" Target="/xl/worksheets/sheet24.xml" Id="rId27" /><Relationship Type="http://schemas.openxmlformats.org/officeDocument/2006/relationships/worksheet" Target="/xl/worksheets/sheet25.xml" Id="rId28" /><Relationship Type="http://schemas.openxmlformats.org/officeDocument/2006/relationships/worksheet" Target="/xl/worksheets/sheet26.xml" Id="rId29" /></Relationships>
</file>

<file path=xl/tables/table1.xml><?xml version="1.0" encoding="utf-8"?>
<x:table xmlns:x="http://schemas.openxmlformats.org/spreadsheetml/2006/main" id="1" name="SiemensHardwareTable" displayName="SiemensHardwareTable" ref="A1:O12" headerRowCount="1" totalsRowCount="0" totalsRowShown="0">
  <x:autoFilter ref="A1:O12"/>
  <x:tableColumns count="15">
    <x:tableColumn id="1" name="tag"/>
    <x:tableColumn id="2" name="role"/>
    <x:tableColumn id="3" name="manufacturer"/>
    <x:tableColumn id="4" name="model"/>
    <x:tableColumn id="5" name="order_no"/>
    <x:tableColumn id="6" name="qty"/>
    <x:tableColumn id="7" name="selection"/>
    <x:tableColumn id="8" name="firmware"/>
    <x:tableColumn id="9" name="width_mm"/>
    <x:tableColumn id="10" name="height_mm"/>
    <x:tableColumn id="11" name="depth_mm"/>
    <x:tableColumn id="12" name="status"/>
    <x:tableColumn id="13" name="source_url"/>
    <x:tableColumn id="14" name="source_accessed"/>
    <x:tableColumn id="15" name="full_design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CIOTable" displayName="PLCIOTable" ref="A1:I75" headerRowCount="1" totalsRowCount="0" totalsRowShown="0">
  <x:autoFilter ref="A1:I75"/>
  <x:tableColumns count="9">
    <x:tableColumn id="1" name="symbol"/>
    <x:tableColumn id="2" name="direction"/>
    <x:tableColumn id="3" name="address"/>
    <x:tableColumn id="4" name="module"/>
    <x:tableColumn id="5" name="channel"/>
    <x:tableColumn id="6" name="device"/>
    <x:tableColumn id="7" name="description"/>
    <x:tableColumn id="8" name="safe_default"/>
    <x:tableColumn id="9" name="class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rivePZDTable" displayName="DrivePZDTable" ref="A1:J9" headerRowCount="1" totalsRowCount="0" totalsRowShown="0">
  <x:autoFilter ref="A1:J9"/>
  <x:tableColumns count="10">
    <x:tableColumn id="1" name="drive"/>
    <x:tableColumn id="2" name="name"/>
    <x:tableColumn id="3" name="telegram"/>
    <x:tableColumn id="4" name="direction"/>
    <x:tableColumn id="5" name="pzd"/>
    <x:tableColumn id="6" name="address"/>
    <x:tableColumn id="7" name="signal"/>
    <x:tableColumn id="8" name="data_type"/>
    <x:tableColumn id="9" name="scaling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MITagsTable" displayName="HMITagsTable" ref="A1:J72" headerRowCount="1" totalsRowCount="0" totalsRowShown="0">
  <x:autoFilter ref="A1:J72"/>
  <x:tableColumns count="10">
    <x:tableColumn id="1" name="hmi_tag"/>
    <x:tableColumn id="2" name="plc_source"/>
    <x:tableColumn id="3" name="access"/>
    <x:tableColumn id="4" name="command"/>
    <x:tableColumn id="5" name="request_seq"/>
    <x:tableColumn id="6" name="accepted_seq"/>
    <x:tableColumn id="7" name="rejected_seq"/>
    <x:tableColumn id="8" name="disabled_reason"/>
    <x:tableColumn id="9" name="role"/>
    <x:tableColumn id="10" name="scre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armsTable" displayName="AlarmsTable" ref="A1:F40" headerRowCount="1" totalsRowCount="0" totalsRowShown="0">
  <x:autoFilter ref="A1:F40"/>
  <x:tableColumns count="6">
    <x:tableColumn id="1" name="alarm_id"/>
    <x:tableColumn id="2" name="message"/>
    <x:tableColumn id="3" name="class"/>
    <x:tableColumn id="4" name="response"/>
    <x:tableColumn id="5" name="ack_required"/>
    <x:tableColumn id="6" name="reset_cond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FDParametersTable" displayName="VFDParametersTable" ref="A1:D7" headerRowCount="1" totalsRowCount="0" totalsRowShown="0">
  <x:autoFilter ref="A1:D7"/>
  <x:tableColumns count="4">
    <x:tableColumn id="1" name="drive"/>
    <x:tableColumn id="2" name="parameter"/>
    <x:tableColumn id="3" name="value"/>
    <x:tableColumn id="4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VIDIAInterfaceTable" displayName="NVIDIAInterfaceTable" ref="A1:J48" headerRowCount="1" totalsRowCount="0" totalsRowShown="0">
  <x:autoFilter ref="A1:J48"/>
  <x:tableColumns count="10">
    <x:tableColumn id="1" name="signal"/>
    <x:tableColumn id="2" name="data_type"/>
    <x:tableColumn id="3" name="owner"/>
    <x:tableColumn id="4" name="meaning"/>
    <x:tableColumn id="5" name="transport"/>
    <x:tableColumn id="6" name="timeout_ms"/>
    <x:tableColumn id="7" name="opcua_type"/>
    <x:tableColumn id="8" name="byte_order"/>
    <x:tableColumn id="9" name="update_rule"/>
    <x:tableColumn id="10" name="invalid_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isionRequirementsTable" displayName="VisionRequirementsTable" ref="A1:G21" headerRowCount="1" totalsRowCount="0" totalsRowShown="0">
  <x:autoFilter ref="A1:G21"/>
  <x:tableColumns count="7">
    <x:tableColumn id="1" name="requirement_id"/>
    <x:tableColumn id="2" name="requirement"/>
    <x:tableColumn id="3" name="verification"/>
    <x:tableColumn id="4" name="status"/>
    <x:tableColumn id="5" name="design_artifact"/>
    <x:tableColumn id="6" name="test_ids"/>
    <x:tableColumn id="7" name="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isionFaultMatrixTable" displayName="VisionFaultMatrixTable" ref="A1:H29" headerRowCount="1" totalsRowCount="0" totalsRowShown="0">
  <x:autoFilter ref="A1:H29"/>
  <x:tableColumns count="8">
    <x:tableColumn id="1" name="scenario"/>
    <x:tableColumn id="2" name="stimulus"/>
    <x:tableColumn id="3" name="injection"/>
    <x:tableColumn id="4" name="expected_state"/>
    <x:tableColumn id="5" name="diagnostic"/>
    <x:tableColumn id="6" name="result_class"/>
    <x:tableColumn id="7" name="identity_policy"/>
    <x:tableColumn id="8" name="recover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VIDIAElectricalTable" displayName="NVIDIAElectricalTable" ref="A1:M11" headerRowCount="1" totalsRowCount="0" totalsRowShown="0">
  <x:autoFilter ref="A1:M11"/>
  <x:tableColumns count="13">
    <x:tableColumn id="1" name="item_id"/>
    <x:tableColumn id="2" name="designation"/>
    <x:tableColumn id="3" name="category"/>
    <x:tableColumn id="4" name="description"/>
    <x:tableColumn id="5" name="voltage_vdc"/>
    <x:tableColumn id="6" name="allowance_w"/>
    <x:tableColumn id="7" name="allowance_a"/>
    <x:tableColumn id="8" name="protection_concept"/>
    <x:tableColumn id="9" name="terminal_or_port"/>
    <x:tableColumn id="10" name="cable_id"/>
    <x:tableColumn id="11" name="status"/>
    <x:tableColumn id="12" name="closure_input"/>
    <x:tableColumn id="13" name="rationa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NVIDIAVersionsTable" displayName="NVIDIAVersionsTable" ref="A1:E6" headerRowCount="1" totalsRowCount="0" totalsRowShown="0">
  <x:autoFilter ref="A1:E6"/>
  <x:tableColumns count="5">
    <x:tableColumn id="1" name="domain"/>
    <x:tableColumn id="2" name="version"/>
    <x:tableColumn id="3" name="platform"/>
    <x:tableColumn id="4" name="status"/>
    <x:tableColumn id="5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visionFGapsTable" displayName="RevisionFGapsTable" ref="A1:G21" headerRowCount="1" totalsRowCount="0" totalsRowShown="0">
  <x:autoFilter ref="A1:G21"/>
  <x:tableColumns count="7">
    <x:tableColumn id="1" name="gap_id"/>
    <x:tableColumn id="2" name="requirement_area"/>
    <x:tableColumn id="3" name="inherited_evidence"/>
    <x:tableColumn id="4" name="revision_f_action"/>
    <x:tableColumn id="5" name="verification"/>
    <x:tableColumn id="6" name="evidence_class"/>
    <x:tableColumn id="7" name="external_closur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NetworkNodesTable" displayName="NetworkNodesTable" ref="A1:H8" headerRowCount="1" totalsRowCount="0" totalsRowShown="0">
  <x:autoFilter ref="A1:H8"/>
  <x:tableColumns count="8">
    <x:tableColumn id="1" name="node"/>
    <x:tableColumn id="2" name="ip"/>
    <x:tableColumn id="3" name="vlan"/>
    <x:tableColumn id="4" name="switch_port"/>
    <x:tableColumn id="5" name="zone"/>
    <x:tableColumn id="6" name="owner"/>
    <x:tableColumn id="7" name="role"/>
    <x:tableColumn id="8" name="allowed_servic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erminalPlanTable" displayName="TerminalPlanTable" ref="A1:Q85" headerRowCount="1" totalsRowCount="0" totalsRowShown="0">
  <x:autoFilter ref="A1:Q85"/>
  <x:tableColumns count="17">
    <x:tableColumn id="1" name="terminal"/>
    <x:tableColumn id="2" name="full_designation"/>
    <x:tableColumn id="3" name="signal"/>
    <x:tableColumn id="4" name="function"/>
    <x:tableColumn id="5" name="cable_id"/>
    <x:tableColumn id="6" name="core"/>
    <x:tableColumn id="7" name="field_device"/>
    <x:tableColumn id="8" name="field_designation"/>
    <x:tableColumn id="9" name="field_pin"/>
    <x:tableColumn id="10" name="module"/>
    <x:tableColumn id="11" name="module_designation"/>
    <x:tableColumn id="12" name="module_terminal"/>
    <x:tableColumn id="13" name="plc_address"/>
    <x:tableColumn id="14" name="potential"/>
    <x:tableColumn id="15" name="wire_no"/>
    <x:tableColumn id="16" name="shield_or_common"/>
    <x:tableColumn id="17" name="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ointtoPointTable" displayName="PointtoPointTable" ref="A1:V119" headerRowCount="1" totalsRowCount="0" totalsRowShown="0">
  <x:autoFilter ref="A1:V119"/>
  <x:tableColumns count="22">
    <x:tableColumn id="1" name="signal"/>
    <x:tableColumn id="2" name="function"/>
    <x:tableColumn id="3" name="field_device"/>
    <x:tableColumn id="4" name="field_designation"/>
    <x:tableColumn id="5" name="field_pin"/>
    <x:tableColumn id="6" name="cable_id"/>
    <x:tableColumn id="7" name="cable_core"/>
    <x:tableColumn id="8" name="field_terminal"/>
    <x:tableColumn id="9" name="panel_terminal"/>
    <x:tableColumn id="10" name="internal_wire"/>
    <x:tableColumn id="11" name="interposing_device"/>
    <x:tableColumn id="12" name="module"/>
    <x:tableColumn id="13" name="module_designation"/>
    <x:tableColumn id="14" name="module_terminal"/>
    <x:tableColumn id="15" name="plc_address"/>
    <x:tableColumn id="16" name="potential"/>
    <x:tableColumn id="17" name="return_common"/>
    <x:tableColumn id="18" name="shield_termination"/>
    <x:tableColumn id="19" name="conductor_mm2"/>
    <x:tableColumn id="20" name="color"/>
    <x:tableColumn id="21" name="destination"/>
    <x:tableColumn id="22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bleScheduleTable" displayName="CableScheduleTable" ref="A1:L23" headerRowCount="1" totalsRowCount="0" totalsRowShown="0">
  <x:autoFilter ref="A1:L23"/>
  <x:tableColumns count="12">
    <x:tableColumn id="1" name="cable_id"/>
    <x:tableColumn id="2" name="from_location"/>
    <x:tableColumn id="3" name="to_device"/>
    <x:tableColumn id="4" name="to_designation"/>
    <x:tableColumn id="5" name="cable_type"/>
    <x:tableColumn id="6" name="installed_cores"/>
    <x:tableColumn id="7" name="allocated_cores"/>
    <x:tableColumn id="8" name="spare_cores"/>
    <x:tableColumn id="9" name="core_range"/>
    <x:tableColumn id="10" name="shield"/>
    <x:tableColumn id="11" name="route_zone"/>
    <x:tableColumn id="12" name="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ireListTable" displayName="WireListTable" ref="A1:V119" headerRowCount="1" totalsRowCount="0" totalsRowShown="0">
  <x:autoFilter ref="A1:V119"/>
  <x:tableColumns count="22">
    <x:tableColumn id="1" name="signal"/>
    <x:tableColumn id="2" name="function"/>
    <x:tableColumn id="3" name="field_device"/>
    <x:tableColumn id="4" name="field_designation"/>
    <x:tableColumn id="5" name="field_pin"/>
    <x:tableColumn id="6" name="cable_id"/>
    <x:tableColumn id="7" name="cable_core"/>
    <x:tableColumn id="8" name="field_terminal"/>
    <x:tableColumn id="9" name="panel_terminal"/>
    <x:tableColumn id="10" name="internal_wire"/>
    <x:tableColumn id="11" name="interposing_device"/>
    <x:tableColumn id="12" name="module"/>
    <x:tableColumn id="13" name="module_designation"/>
    <x:tableColumn id="14" name="module_terminal"/>
    <x:tableColumn id="15" name="plc_address"/>
    <x:tableColumn id="16" name="potential"/>
    <x:tableColumn id="17" name="return_common"/>
    <x:tableColumn id="18" name="shield_termination"/>
    <x:tableColumn id="19" name="conductor_mm2"/>
    <x:tableColumn id="20" name="color"/>
    <x:tableColumn id="21" name="destination"/>
    <x:tableColumn id="22" name="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BOMTable" displayName="BOMTable" ref="A1:J63" headerRowCount="1" totalsRowCount="0" totalsRowShown="0">
  <x:autoFilter ref="A1:J63"/>
  <x:tableColumns count="10">
    <x:tableColumn id="1" name="item"/>
    <x:tableColumn id="2" name="tag"/>
    <x:tableColumn id="3" name="description"/>
    <x:tableColumn id="4" name="manufacturer"/>
    <x:tableColumn id="5" name="order_no"/>
    <x:tableColumn id="6" name="qty"/>
    <x:tableColumn id="7" name="selection_status"/>
    <x:tableColumn id="8" name="scope"/>
    <x:tableColumn id="9" name="basis_or_blocker"/>
    <x:tableColumn id="10" name="full_designation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LoadBudgetTable" displayName="LoadBudgetTable" ref="A1:F11" headerRowCount="1" totalsRowCount="0" totalsRowShown="0">
  <x:autoFilter ref="A1:F11"/>
  <x:tableColumns count="6">
    <x:tableColumn id="1" name="load"/>
    <x:tableColumn id="2" name="voltage"/>
    <x:tableColumn id="3" name="nominal_w"/>
    <x:tableColumn id="4" name="demand_factor"/>
    <x:tableColumn id="5" name="demand_w"/>
    <x:tableColumn id="6" name="basi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nelPlacementTable" displayName="PanelPlacementTable" ref="A1:P15" headerRowCount="1" totalsRowCount="0" totalsRowShown="0">
  <x:autoFilter ref="A1:P15"/>
  <x:tableColumns count="16">
    <x:tableColumn id="1" name="tag"/>
    <x:tableColumn id="2" name="x_mm"/>
    <x:tableColumn id="3" name="y_mm"/>
    <x:tableColumn id="4" name="width_mm"/>
    <x:tableColumn id="5" name="height_mm"/>
    <x:tableColumn id="6" name="depth_mm"/>
    <x:tableColumn id="7" name="mounting"/>
    <x:tableColumn id="8" name="orientation"/>
    <x:tableColumn id="9" name="zone"/>
    <x:tableColumn id="10" name="top_clearance_mm"/>
    <x:tableColumn id="11" name="bottom_clearance_mm"/>
    <x:tableColumn id="12" name="side_clearance_mm"/>
    <x:tableColumn id="13" name="heat_w"/>
    <x:tableColumn id="14" name="dimension_basis"/>
    <x:tableColumn id="15" name="placement_status"/>
    <x:tableColumn id="16" name="full_designati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RequirementsTraceTable" displayName="RequirementsTraceTable" ref="A1:G46" headerRowCount="1" totalsRowCount="0" totalsRowShown="0">
  <x:autoFilter ref="A1:G46"/>
  <x:tableColumns count="7">
    <x:tableColumn id="1" name="requirement_id"/>
    <x:tableColumn id="2" name="requirement"/>
    <x:tableColumn id="3" name="verification"/>
    <x:tableColumn id="4" name="status"/>
    <x:tableColumn id="5" name="design_artifact"/>
    <x:tableColumn id="6" name="test_ids"/>
    <x:tableColumn id="7" name="evidenc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estCoverageTable" displayName="TestCoverageTable" ref="A1:G73" headerRowCount="1" totalsRowCount="0" totalsRowShown="0">
  <x:autoFilter ref="A1:G73"/>
  <x:tableColumns count="7">
    <x:tableColumn id="1" name="test_id"/>
    <x:tableColumn id="2" name="scenario"/>
    <x:tableColumn id="3" name="method"/>
    <x:tableColumn id="4" name="expected"/>
    <x:tableColumn id="5" name="native_plcsim"/>
    <x:tableColumn id="6" name="evidence"/>
    <x:tableColumn id="7" name="test_typ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InputRequestsTable" displayName="InputRequestsTable" ref="A1:G29" headerRowCount="1" totalsRowCount="0" totalsRowShown="0">
  <x:autoFilter ref="A1:G29"/>
  <x:tableColumns count="7">
    <x:tableColumn id="1" name="request_id"/>
    <x:tableColumn id="2" name="required_input"/>
    <x:tableColumn id="3" name="owner"/>
    <x:tableColumn id="4" name="blocks"/>
    <x:tableColumn id="5" name="status"/>
    <x:tableColumn id="6" name="date_requested"/>
    <x:tableColumn id="7" name="evidence_required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AcceptanceGatesTable" displayName="AcceptanceGatesTable" ref="A1:D23" headerRowCount="1" totalsRowCount="0" totalsRowShown="0">
  <x:autoFilter ref="A1:D23"/>
  <x:tableColumns count="4">
    <x:tableColumn id="1" name="gate"/>
    <x:tableColumn id="2" name="acceptance_gate"/>
    <x:tableColumn id="3" name="status"/>
    <x:tableColumn id="4" name="evidence_or_blocker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DocumentRegisterTable" displayName="DocumentRegisterTable" ref="A1:F32" headerRowCount="1" totalsRowCount="0" totalsRowShown="0">
  <x:autoFilter ref="A1:F32"/>
  <x:tableColumns count="6">
    <x:tableColumn id="1" name="document_id"/>
    <x:tableColumn id="2" name="title"/>
    <x:tableColumn id="3" name="path"/>
    <x:tableColumn id="4" name="revision"/>
    <x:tableColumn id="5" name="owner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I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0.630000114440918" hidden="0" customWidth="1"/>
    <x:col min="7" max="7" width="19.3799991607666" hidden="0" customWidth="1"/>
    <x:col min="8" max="8" width="19.3799991607666" hidden="0" customWidth="1"/>
    <x:col min="9" max="9" width="10.630000114440918" hidden="0" customWidth="1"/>
    <x:col min="10" max="10" width="19.3799991607666" hidden="0" customWidth="1"/>
    <x:col min="11" max="11" width="19.3799991607666" hidden="0" customWidth="1"/>
    <x:col min="12" max="12" width="22.5" hidden="0" customWidth="1"/>
    <x:col min="13" max="13" width="19.3799991607666" hidden="0" customWidth="1"/>
    <x:col min="14" max="14" width="19.3799991607666" hidden="0" customWidth="1"/>
    <x:col min="15" max="15" width="19.3799991607666" hidden="0" customWidth="1"/>
  </x:cols>
  <x:sheetData>
    <x:row r="1" ht="31.5" customHeight="1">
      <x:c r="A1" s="12" t="str">
        <x:v>tag</x:v>
      </x:c>
      <x:c r="B1" s="12" t="str">
        <x:v>role</x:v>
      </x:c>
      <x:c r="C1" s="12" t="str">
        <x:v>manufacturer</x:v>
      </x:c>
      <x:c r="D1" s="12" t="str">
        <x:v>model</x:v>
      </x:c>
      <x:c r="E1" s="12" t="str">
        <x:v>order_no</x:v>
      </x:c>
      <x:c r="F1" s="12" t="str">
        <x:v>qty</x:v>
      </x:c>
      <x:c r="G1" s="12" t="str">
        <x:v>selection</x:v>
      </x:c>
      <x:c r="H1" s="12" t="str">
        <x:v>firmware</x:v>
      </x:c>
      <x:c r="I1" s="12" t="str">
        <x:v>width_mm</x:v>
      </x:c>
      <x:c r="J1" s="12" t="str">
        <x:v>height_mm</x:v>
      </x:c>
      <x:c r="K1" s="12" t="str">
        <x:v>depth_mm</x:v>
      </x:c>
      <x:c r="L1" s="12" t="str">
        <x:v>status</x:v>
      </x:c>
      <x:c r="M1" s="12" t="str">
        <x:v>source_url</x:v>
      </x:c>
      <x:c r="N1" s="12" t="str">
        <x:v>source_accessed</x:v>
      </x:c>
      <x:c r="O1" s="12" t="str">
        <x:v>full_designation</x:v>
      </x:c>
    </x:row>
    <x:row r="2" ht="27" customHeight="1">
      <x:c r="A2" s="6" t="str">
        <x:v>-A100</x:v>
      </x:c>
      <x:c r="B2" s="6" t="str">
        <x:v>PLC CPU</x:v>
      </x:c>
      <x:c r="C2" s="6" t="str">
        <x:v>Siemens</x:v>
      </x:c>
      <x:c r="D2" s="6" t="str">
        <x:v>SIMATIC S7-1500 CPU 1511-1 PN</x:v>
      </x:c>
      <x:c r="E2" s="6" t="str">
        <x:v>6ES7511-1AL03-0AB0</x:v>
      </x:c>
      <x:c r="F2" s="6" t="str">
        <x:v>1</x:v>
      </x:c>
      <x:c r="G2" s="6" t="str">
        <x:v>Selected baseline</x:v>
      </x:c>
      <x:c r="H2" s="6" t="str">
        <x:v>FS03 / FW V4.0 for native TIA V20 engineering</x:v>
      </x:c>
      <x:c r="I2" s="6" t="str">
        <x:v>35</x:v>
      </x:c>
      <x:c r="J2" s="6" t="str">
        <x:v>147</x:v>
      </x:c>
      <x:c r="K2" s="6" t="str">
        <x:v>129</x:v>
      </x:c>
      <x:c r="L2" s="6" t="str">
        <x:v>Native catalog/configuration and delivered hardware state not yet verified</x:v>
      </x:c>
      <x:c r="M2" s="6" t="str">
        <x:v>https://support.industry.siemens.com/cs/attachments/109977233/s71500_cpu1511_1_pn_dtc_manual_en-US_en-US.pdf</x:v>
      </x:c>
      <x:c r="N2" s="6" t="str">
        <x:v>2026-08-02</x:v>
      </x:c>
      <x:c r="O2" s="6" t="str">
        <x:v>=FC01+CP01-A100</x:v>
      </x:c>
    </x:row>
    <x:row r="3" ht="27" customHeight="1">
      <x:c r="A3" s="6" t="str">
        <x:v>-A101</x:v>
      </x:c>
      <x:c r="B3" s="6" t="str">
        <x:v>High-speed counter</x:v>
      </x:c>
      <x:c r="C3" s="6" t="str">
        <x:v>Siemens</x:v>
      </x:c>
      <x:c r="D3" s="6" t="str">
        <x:v>TM Count 2x24V</x:v>
      </x:c>
      <x:c r="E3" s="6" t="str">
        <x:v>6ES7550-1AA01-0AB0</x:v>
      </x:c>
      <x:c r="F3" s="6" t="str">
        <x:v>1</x:v>
      </x:c>
      <x:c r="G3" s="6" t="str">
        <x:v>Selected baseline</x:v>
      </x:c>
      <x:c r="H3" s="6" t="str">
        <x:v>Native catalog selection required</x:v>
      </x:c>
      <x:c r="I3" s="6" t="str">
        <x:v>35</x:v>
      </x:c>
      <x:c r="J3" s="6" t="str">
        <x:v>147</x:v>
      </x:c>
      <x:c r="K3" s="6" t="str">
        <x:v>129</x:v>
      </x:c>
      <x:c r="L3" s="6" t="str">
        <x:v>Two channels selected; TO configuration and K-factor inputs open</x:v>
      </x:c>
      <x:c r="M3" s="6" t="str">
        <x:v>https://support.industry.siemens.com/teddatasheet/?caller=SIOS&amp;format=pdf&amp;language=en&amp;mlfbs=6ES7550-1AA01-0AB0</x:v>
      </x:c>
      <x:c r="N3" s="6" t="str">
        <x:v>2026-08-02</x:v>
      </x:c>
      <x:c r="O3" s="6" t="str">
        <x:v>=FC01+CP01-A101</x:v>
      </x:c>
    </x:row>
    <x:row r="4" ht="27" customHeight="1">
      <x:c r="A4" s="6" t="str">
        <x:v>-A102</x:v>
      </x:c>
      <x:c r="B4" s="6" t="str">
        <x:v>Digital input</x:v>
      </x:c>
      <x:c r="C4" s="6" t="str">
        <x:v>Siemens</x:v>
      </x:c>
      <x:c r="D4" s="6" t="str">
        <x:v>DI 32x24V DC HF</x:v>
      </x:c>
      <x:c r="E4" s="6" t="str">
        <x:v>6ES7521-1BL00-0AB0</x:v>
      </x:c>
      <x:c r="F4" s="6" t="str">
        <x:v>1</x:v>
      </x:c>
      <x:c r="G4" s="6" t="str">
        <x:v>Selected baseline</x:v>
      </x:c>
      <x:c r="H4" s="6" t="str">
        <x:v>Native catalog selection required</x:v>
      </x:c>
      <x:c r="I4" s="6" t="str">
        <x:v>35</x:v>
      </x:c>
      <x:c r="J4" s="6" t="str">
        <x:v>147</x:v>
      </x:c>
      <x:c r="K4" s="6" t="str">
        <x:v>129</x:v>
      </x:c>
      <x:c r="L4" s="6" t="str">
        <x:v>Front connector and channel parameters included separately</x:v>
      </x:c>
      <x:c r="M4" s="6" t="str">
        <x:v>https://mall.industry.siemens.com/mall/en/WW/Catalog/Product/6ES7521-1BL00-0AB0</x:v>
      </x:c>
      <x:c r="N4" s="6" t="str">
        <x:v>2026-08-02</x:v>
      </x:c>
      <x:c r="O4" s="6" t="str">
        <x:v>=FC01+CP01-A102</x:v>
      </x:c>
    </x:row>
    <x:row r="5" ht="27" customHeight="1">
      <x:c r="A5" s="6" t="str">
        <x:v>-A103</x:v>
      </x:c>
      <x:c r="B5" s="6" t="str">
        <x:v>Digital output</x:v>
      </x:c>
      <x:c r="C5" s="6" t="str">
        <x:v>Siemens</x:v>
      </x:c>
      <x:c r="D5" s="6" t="str">
        <x:v>DQ 32x24V DC/0.5A HF</x:v>
      </x:c>
      <x:c r="E5" s="6" t="str">
        <x:v>6ES7522-1BL01-0AB0</x:v>
      </x:c>
      <x:c r="F5" s="6" t="str">
        <x:v>1</x:v>
      </x:c>
      <x:c r="G5" s="6" t="str">
        <x:v>Selected baseline</x:v>
      </x:c>
      <x:c r="H5" s="6" t="str">
        <x:v>Native catalog selection required</x:v>
      </x:c>
      <x:c r="I5" s="6" t="str">
        <x:v>35</x:v>
      </x:c>
      <x:c r="J5" s="6" t="str">
        <x:v>147</x:v>
      </x:c>
      <x:c r="K5" s="6" t="str">
        <x:v>129</x:v>
      </x:c>
      <x:c r="L5" s="6" t="str">
        <x:v>Field loads use interposing relays</x:v>
      </x:c>
      <x:c r="M5" s="6" t="str">
        <x:v>https://mall.industry.siemens.com/mall/en/WW/Catalog/Product/6ES7522-1BL01-0AB0</x:v>
      </x:c>
      <x:c r="N5" s="6" t="str">
        <x:v>2026-08-02</x:v>
      </x:c>
      <x:c r="O5" s="6" t="str">
        <x:v>=FC01+CP01-A103</x:v>
      </x:c>
    </x:row>
    <x:row r="6" ht="27" customHeight="1">
      <x:c r="A6" s="6" t="str">
        <x:v>-A104</x:v>
      </x:c>
      <x:c r="B6" s="6" t="str">
        <x:v>Analog input</x:v>
      </x:c>
      <x:c r="C6" s="6" t="str">
        <x:v>Siemens</x:v>
      </x:c>
      <x:c r="D6" s="6" t="str">
        <x:v>AI 8xU/I HF</x:v>
      </x:c>
      <x:c r="E6" s="6" t="str">
        <x:v>6ES7531-7NF00-0AB0</x:v>
      </x:c>
      <x:c r="F6" s="6" t="str">
        <x:v>1</x:v>
      </x:c>
      <x:c r="G6" s="6" t="str">
        <x:v>Selected baseline</x:v>
      </x:c>
      <x:c r="H6" s="6" t="str">
        <x:v>Native catalog selection required</x:v>
      </x:c>
      <x:c r="I6" s="6" t="str">
        <x:v>35</x:v>
      </x:c>
      <x:c r="J6" s="6" t="str">
        <x:v>147</x:v>
      </x:c>
      <x:c r="K6" s="6" t="str">
        <x:v>129</x:v>
      </x:c>
      <x:c r="L6" s="6" t="str">
        <x:v>4-20 mA channel diagnostics require native parameterization</x:v>
      </x:c>
      <x:c r="M6" s="6" t="str">
        <x:v>https://mall.industry.siemens.com/mall/en/WW/Catalog/Product/6ES7531-7NF00-0AB0</x:v>
      </x:c>
      <x:c r="N6" s="6" t="str">
        <x:v>2026-08-02</x:v>
      </x:c>
      <x:c r="O6" s="6" t="str">
        <x:v>=FC01+CP01-A104</x:v>
      </x:c>
    </x:row>
    <x:row r="7" ht="27" customHeight="1">
      <x:c r="A7" s="6" t="str">
        <x:v>-H100</x:v>
      </x:c>
      <x:c r="B7" s="6" t="str">
        <x:v>Operator panel</x:v>
      </x:c>
      <x:c r="C7" s="6" t="str">
        <x:v>Siemens</x:v>
      </x:c>
      <x:c r="D7" s="6" t="str">
        <x:v>MTP700 Unified Comfort</x:v>
      </x:c>
      <x:c r="E7" s="6" t="str">
        <x:v>6AV2128-3GB06-0AX1</x:v>
      </x:c>
      <x:c r="F7" s="6" t="str">
        <x:v>1</x:v>
      </x:c>
      <x:c r="G7" s="6" t="str">
        <x:v>Selected baseline</x:v>
      </x:c>
      <x:c r="H7" s="6" t="str">
        <x:v>WinCC Unified V20 target</x:v>
      </x:c>
      <x:c r="I7" s="6" t="str">
        <x:v>214</x:v>
      </x:c>
      <x:c r="J7" s="6" t="str">
        <x:v>158</x:v>
      </x:c>
      <x:c r="K7" s="6" t="str">
        <x:v>63.6</x:v>
      </x:c>
      <x:c r="L7" s="6" t="str">
        <x:v>Door cutout 198.3 x 142 mm; native HMI project/compile open</x:v>
      </x:c>
      <x:c r="M7" s="6" t="str">
        <x:v>https://support.industry.siemens.com/teddatasheet/?caller=SIOS&amp;format=pdf&amp;language=en&amp;mlfbs=6AV2128-3GB06-0AX1</x:v>
      </x:c>
      <x:c r="N7" s="6" t="str">
        <x:v>2026-08-02</x:v>
      </x:c>
      <x:c r="O7" s="6" t="str">
        <x:v>=FC01+CP01-H100</x:v>
      </x:c>
    </x:row>
    <x:row r="8" ht="27" customHeight="1">
      <x:c r="A8" s="6" t="str">
        <x:v>-U100</x:v>
      </x:c>
      <x:c r="B8" s="6" t="str">
        <x:v>Conveyor drive</x:v>
      </x:c>
      <x:c r="C8" s="6" t="str">
        <x:v>Siemens</x:v>
      </x:c>
      <x:c r="D8" s="6" t="str">
        <x:v>SINAMICS G120C PN 0.75 kW unfiltered</x:v>
      </x:c>
      <x:c r="E8" s="6" t="str">
        <x:v>6SL3210-1KE12-3UF2</x:v>
      </x:c>
      <x:c r="F8" s="6" t="str">
        <x:v>1</x:v>
      </x:c>
      <x:c r="G8" s="6" t="str">
        <x:v>Provisional</x:v>
      </x:c>
      <x:c r="H8" s="6" t="str">
        <x:v>Startdrive selection open</x:v>
      </x:c>
      <x:c r="I8" s="6" t="str">
        <x:v>73</x:v>
      </x:c>
      <x:c r="J8" s="6" t="str">
        <x:v>196</x:v>
      </x:c>
      <x:c r="K8" s="6" t="str">
        <x:v>225.4</x:v>
      </x:c>
      <x:c r="L8" s="6" t="str">
        <x:v>SELECTED ENVELOPE; drive rating/duty and Startdrive configuration remain provisional</x:v>
      </x:c>
      <x:c r="M8" s="6" t="str">
        <x:v>https://mall.industry.siemens.com/mall/en/WW/Catalog/Product/6SL3210-1KE12-3UF2</x:v>
      </x:c>
      <x:c r="N8" s="6" t="str">
        <x:v>2026-08-02</x:v>
      </x:c>
      <x:c r="O8" s="6" t="str">
        <x:v>=FC01+CP01-U100</x:v>
      </x:c>
    </x:row>
    <x:row r="9" ht="27" customHeight="1">
      <x:c r="A9" s="6" t="str">
        <x:v>-U101</x:v>
      </x:c>
      <x:c r="B9" s="6" t="str">
        <x:v>Pump drive</x:v>
      </x:c>
      <x:c r="C9" s="6" t="str">
        <x:v>Siemens</x:v>
      </x:c>
      <x:c r="D9" s="6" t="str">
        <x:v>SINAMICS G120C PN 0.75 kW unfiltered</x:v>
      </x:c>
      <x:c r="E9" s="6" t="str">
        <x:v>6SL3210-1KE12-3UF2</x:v>
      </x:c>
      <x:c r="F9" s="6" t="str">
        <x:v>1</x:v>
      </x:c>
      <x:c r="G9" s="6" t="str">
        <x:v>Provisional</x:v>
      </x:c>
      <x:c r="H9" s="6" t="str">
        <x:v>Startdrive selection open</x:v>
      </x:c>
      <x:c r="I9" s="6" t="str">
        <x:v>73</x:v>
      </x:c>
      <x:c r="J9" s="6" t="str">
        <x:v>196</x:v>
      </x:c>
      <x:c r="K9" s="6" t="str">
        <x:v>225.4</x:v>
      </x:c>
      <x:c r="L9" s="6" t="str">
        <x:v>SELECTED ENVELOPE; drive rating/duty and Startdrive configuration remain provisional</x:v>
      </x:c>
      <x:c r="M9" s="6" t="str">
        <x:v>https://mall.industry.siemens.com/mall/en/WW/Catalog/Product/6SL3210-1KE12-3UF2</x:v>
      </x:c>
      <x:c r="N9" s="6" t="str">
        <x:v>2026-08-02</x:v>
      </x:c>
      <x:c r="O9" s="6" t="str">
        <x:v>=FC01+CP01-U101</x:v>
      </x:c>
    </x:row>
    <x:row r="10" ht="27" customHeight="1">
      <x:c r="A10" s="6" t="str">
        <x:v>-SW100</x:v>
      </x:c>
      <x:c r="B10" s="6" t="str">
        <x:v>Managed Ethernet switch</x:v>
      </x:c>
      <x:c r="C10" s="6" t="str">
        <x:v>Siemens</x:v>
      </x:c>
      <x:c r="D10" s="6" t="str">
        <x:v>SCALANCE XC208 managed</x:v>
      </x:c>
      <x:c r="E10" s="6" t="str">
        <x:v>6GK5208-0BA00-2AC2</x:v>
      </x:c>
      <x:c r="F10" s="6" t="str">
        <x:v>1</x:v>
      </x:c>
      <x:c r="G10" s="6" t="str">
        <x:v>Selected network baseline</x:v>
      </x:c>
      <x:c r="H10" s="6" t="str">
        <x:v>Native configuration open</x:v>
      </x:c>
      <x:c r="I10" s="6" t="str">
        <x:v>60</x:v>
      </x:c>
      <x:c r="J10" s="6" t="str">
        <x:v>147</x:v>
      </x:c>
      <x:c r="K10" s="6" t="str">
        <x:v>125</x:v>
      </x:c>
      <x:c r="L10" s="6" t="str">
        <x:v>VLAN-capable Layer 2 switch; firewall/router required for inter-zone traffic</x:v>
      </x:c>
      <x:c r="M10" s="6" t="str">
        <x:v>https://support.industry.siemens.com/teddatasheet/?caller=SIOS&amp;format=pdf&amp;language=en&amp;mlfbs=6GK5208-0BA00-2AC2</x:v>
      </x:c>
      <x:c r="N10" s="6" t="str">
        <x:v>2026-08-02</x:v>
      </x:c>
      <x:c r="O10" s="6" t="str">
        <x:v>=FC01+CP01-SW100</x:v>
      </x:c>
    </x:row>
    <x:row r="11" ht="27" customHeight="1">
      <x:c r="A11" s="6" t="str">
        <x:v>-FW100</x:v>
      </x:c>
      <x:c r="B11" s="6" t="str">
        <x:v>Industrial firewall/router</x:v>
      </x:c>
      <x:c r="C11" s="6" t="str">
        <x:v>Siemens</x:v>
      </x:c>
      <x:c r="D11" s="6" t="str">
        <x:v>SCALANCE S615 EEC</x:v>
      </x:c>
      <x:c r="E11" s="6" t="str">
        <x:v>6GK5615-0AA01-2AA2</x:v>
      </x:c>
      <x:c r="F11" s="6" t="str">
        <x:v>1</x:v>
      </x:c>
      <x:c r="G11" s="6" t="str">
        <x:v>Selected network baseline</x:v>
      </x:c>
      <x:c r="H11" s="6" t="str">
        <x:v>Native configuration open</x:v>
      </x:c>
      <x:c r="I11" s="6" t="str">
        <x:v>35</x:v>
      </x:c>
      <x:c r="J11" s="6" t="str">
        <x:v>147</x:v>
      </x:c>
      <x:c r="K11" s="6" t="str">
        <x:v>127</x:v>
      </x:c>
      <x:c r="L11" s="6" t="str">
        <x:v>SELECTED NETWORK BASELINE — native configuration and site policy open</x:v>
      </x:c>
      <x:c r="M11" s="6" t="str">
        <x:v>https://mall.industry.siemens.com/mall/en/oeii/Catalog/Product?SiepCountryCode=OE&amp;mlfb=6GK5615-0AA01-2AA2</x:v>
      </x:c>
      <x:c r="N11" s="6" t="str">
        <x:v>2026-08-02</x:v>
      </x:c>
      <x:c r="O11" s="6" t="str">
        <x:v>=FC01+CP01-FW100</x:v>
      </x:c>
    </x:row>
    <x:row r="12" ht="27" customHeight="1">
      <x:c r="A12" s="6" t="str">
        <x:v>-PC200</x:v>
      </x:c>
      <x:c r="B12" s="6" t="str">
        <x:v>Vision edge compute</x:v>
      </x:c>
      <x:c r="C12" s="6" t="str">
        <x:v>NVIDIA</x:v>
      </x:c>
      <x:c r="D12" s="6" t="str">
        <x:v>Jetson Orin NX 16GB on industrial carrier</x:v>
      </x:c>
      <x:c r="E12" s="6" t="str"/>
      <x:c r="F12" s="6" t="str">
        <x:v>1</x:v>
      </x:c>
      <x:c r="G12" s="6" t="str">
        <x:v>Architecture only</x:v>
      </x:c>
      <x:c r="H12" s="6" t="str">
        <x:v>JetPack/DeepStream image not selected</x:v>
      </x:c>
      <x:c r="I12" s="6" t="str">
        <x:v>115</x:v>
      </x:c>
      <x:c r="J12" s="6" t="str">
        <x:v>165</x:v>
      </x:c>
      <x:c r="K12" s="6" t="str">
        <x:v>80</x:v>
      </x:c>
      <x:c r="L12" s="6" t="str">
        <x:v>TBD — NOT PROCUREMENT OR CONSTRUCTION DATA; confirm industrial carrier, thermal solution, EMC and lifecycle</x:v>
      </x:c>
      <x:c r="M12" s="6" t="str">
        <x:v>https://developer.nvidia.com/deepstream-sdk</x:v>
      </x:c>
      <x:c r="N12" s="6" t="str">
        <x:v>2026-08-02</x:v>
      </x:c>
      <x:c r="O12" s="6" t="str">
        <x:v>=FC01+CP01-PC200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9.3799991607666" hidden="0" customWidth="1"/>
    <x:col min="3" max="3" width="22.5" hidden="0" customWidth="1"/>
    <x:col min="4" max="4" width="19.3799991607666" hidden="0" customWidth="1"/>
    <x:col min="5" max="5" width="10.630000114440918" hidden="0" customWidth="1"/>
    <x:col min="6" max="6" width="19.3799991607666" hidden="0" customWidth="1"/>
    <x:col min="7" max="7" width="33.75" hidden="0" customWidth="1"/>
    <x:col min="8" max="8" width="19.3799991607666" hidden="0" customWidth="1"/>
    <x:col min="9" max="9" width="19.3799991607666" hidden="0" customWidth="1"/>
  </x:cols>
  <x:sheetData>
    <x:row r="1" ht="31.5" customHeight="1">
      <x:c r="A1" s="12" t="str">
        <x:v>symbol</x:v>
      </x:c>
      <x:c r="B1" s="12" t="str">
        <x:v>direction</x:v>
      </x:c>
      <x:c r="C1" s="12" t="str">
        <x:v>address</x:v>
      </x:c>
      <x:c r="D1" s="12" t="str">
        <x:v>module</x:v>
      </x:c>
      <x:c r="E1" s="12" t="str">
        <x:v>channel</x:v>
      </x:c>
      <x:c r="F1" s="12" t="str">
        <x:v>device</x:v>
      </x:c>
      <x:c r="G1" s="12" t="str">
        <x:v>description</x:v>
      </x:c>
      <x:c r="H1" s="12" t="str">
        <x:v>safe_default</x:v>
      </x:c>
      <x:c r="I1" s="12" t="str">
        <x:v>classification</x:v>
      </x:c>
    </x:row>
    <x:row r="2" ht="27" customHeight="1">
      <x:c r="A2" s="6" t="str">
        <x:v>SAFETY_OK</x:v>
      </x:c>
      <x:c r="B2" s="6" t="str">
        <x:v>DI</x:v>
      </x:c>
      <x:c r="C2" s="6" t="str">
        <x:v>I0.0</x:v>
      </x:c>
      <x:c r="D2" s="6" t="str">
        <x:v>-A102</x:v>
      </x:c>
      <x:c r="E2" s="6" t="str">
        <x:v>0</x:v>
      </x:c>
      <x:c r="F2" s="6" t="str">
        <x:v>-K100</x:v>
      </x:c>
      <x:c r="G2" s="6" t="str">
        <x:v>Dry-contact mirror from the external safety interface; monitoring only, never a safety control channel</x:v>
      </x:c>
      <x:c r="H2" s="6" t="str">
        <x:v>FALSE</x:v>
      </x:c>
      <x:c r="I2" s="6" t="str">
        <x:v>Standard control</x:v>
      </x:c>
    </x:row>
    <x:row r="3" ht="27" customHeight="1">
      <x:c r="A3" s="6" t="str">
        <x:v>GUARD_CLOSED_STATUS</x:v>
      </x:c>
      <x:c r="B3" s="6" t="str">
        <x:v>DI</x:v>
      </x:c>
      <x:c r="C3" s="6" t="str">
        <x:v>I0.1</x:v>
      </x:c>
      <x:c r="D3" s="6" t="str">
        <x:v>-A102</x:v>
      </x:c>
      <x:c r="E3" s="6" t="str">
        <x:v>1</x:v>
      </x:c>
      <x:c r="F3" s="6" t="str">
        <x:v>-S102</x:v>
      </x:c>
      <x:c r="G3" s="6" t="str">
        <x:v>Dry-contact guard-status mirror; monitoring only, never a safety control channel</x:v>
      </x:c>
      <x:c r="H3" s="6" t="str">
        <x:v>FALSE</x:v>
      </x:c>
      <x:c r="I3" s="6" t="str">
        <x:v>Standard control</x:v>
      </x:c>
    </x:row>
    <x:row r="4" ht="27" customHeight="1">
      <x:c r="A4" s="6" t="str">
        <x:v>AIR_PRESSURE_OK</x:v>
      </x:c>
      <x:c r="B4" s="6" t="str">
        <x:v>DI</x:v>
      </x:c>
      <x:c r="C4" s="6" t="str">
        <x:v>I0.2</x:v>
      </x:c>
      <x:c r="D4" s="6" t="str">
        <x:v>-A102</x:v>
      </x:c>
      <x:c r="E4" s="6" t="str">
        <x:v>2</x:v>
      </x:c>
      <x:c r="F4" s="6" t="str">
        <x:v>-B100</x:v>
      </x:c>
      <x:c r="G4" s="6" t="str">
        <x:v>Pneumatic pressure switch</x:v>
      </x:c>
      <x:c r="H4" s="6" t="str">
        <x:v>FALSE</x:v>
      </x:c>
      <x:c r="I4" s="6" t="str">
        <x:v>Standard control</x:v>
      </x:c>
    </x:row>
    <x:row r="5" ht="27" customHeight="1">
      <x:c r="A5" s="6" t="str">
        <x:v>PRODUCT_SUPPLY_OK</x:v>
      </x:c>
      <x:c r="B5" s="6" t="str">
        <x:v>DI</x:v>
      </x:c>
      <x:c r="C5" s="6" t="str">
        <x:v>I0.3</x:v>
      </x:c>
      <x:c r="D5" s="6" t="str">
        <x:v>-A102</x:v>
      </x:c>
      <x:c r="E5" s="6" t="str">
        <x:v>3</x:v>
      </x:c>
      <x:c r="F5" s="6" t="str">
        <x:v>-B101</x:v>
      </x:c>
      <x:c r="G5" s="6" t="str">
        <x:v>Product supply permissive</x:v>
      </x:c>
      <x:c r="H5" s="6" t="str">
        <x:v>FALSE</x:v>
      </x:c>
      <x:c r="I5" s="6" t="str">
        <x:v>Standard control</x:v>
      </x:c>
    </x:row>
    <x:row r="6" ht="27" customHeight="1">
      <x:c r="A6" s="6" t="str">
        <x:v>DI_SPARE_DRIVE_REMOVED_01</x:v>
      </x:c>
      <x:c r="B6" s="6" t="str">
        <x:v>DI</x:v>
      </x:c>
      <x:c r="C6" s="6" t="str">
        <x:v>I0.4</x:v>
      </x:c>
      <x:c r="D6" s="6" t="str">
        <x:v>-A102</x:v>
      </x:c>
      <x:c r="E6" s="6" t="str">
        <x:v>4</x:v>
      </x:c>
      <x:c r="F6" s="6" t="str">
        <x:v>SPARE</x:v>
      </x:c>
      <x:c r="G6" s="6" t="str">
        <x:v>Spare channel; hardwired drive run/status removed because Standard Telegram 1 PROFINET is primary</x:v>
      </x:c>
      <x:c r="H6" s="6" t="str">
        <x:v>FALSE</x:v>
      </x:c>
      <x:c r="I6" s="6" t="str">
        <x:v>Standard control</x:v>
      </x:c>
    </x:row>
    <x:row r="7" ht="27" customHeight="1">
      <x:c r="A7" s="6" t="str">
        <x:v>DI_SPARE_DRIVE_REMOVED_02</x:v>
      </x:c>
      <x:c r="B7" s="6" t="str">
        <x:v>DI</x:v>
      </x:c>
      <x:c r="C7" s="6" t="str">
        <x:v>I0.5</x:v>
      </x:c>
      <x:c r="D7" s="6" t="str">
        <x:v>-A102</x:v>
      </x:c>
      <x:c r="E7" s="6" t="str">
        <x:v>5</x:v>
      </x:c>
      <x:c r="F7" s="6" t="str">
        <x:v>SPARE</x:v>
      </x:c>
      <x:c r="G7" s="6" t="str">
        <x:v>Spare channel; hardwired drive run/status removed because Standard Telegram 1 PROFINET is primary</x:v>
      </x:c>
      <x:c r="H7" s="6" t="str">
        <x:v>FALSE</x:v>
      </x:c>
      <x:c r="I7" s="6" t="str">
        <x:v>Standard control</x:v>
      </x:c>
    </x:row>
    <x:row r="8" ht="27" customHeight="1">
      <x:c r="A8" s="6" t="str">
        <x:v>DI_SPARE_DRIVE_REMOVED_03</x:v>
      </x:c>
      <x:c r="B8" s="6" t="str">
        <x:v>DI</x:v>
      </x:c>
      <x:c r="C8" s="6" t="str">
        <x:v>I0.6</x:v>
      </x:c>
      <x:c r="D8" s="6" t="str">
        <x:v>-A102</x:v>
      </x:c>
      <x:c r="E8" s="6" t="str">
        <x:v>6</x:v>
      </x:c>
      <x:c r="F8" s="6" t="str">
        <x:v>SPARE</x:v>
      </x:c>
      <x:c r="G8" s="6" t="str">
        <x:v>Spare channel; hardwired drive run/status removed because Standard Telegram 1 PROFINET is primary</x:v>
      </x:c>
      <x:c r="H8" s="6" t="str">
        <x:v>FALSE</x:v>
      </x:c>
      <x:c r="I8" s="6" t="str">
        <x:v>Standard control</x:v>
      </x:c>
    </x:row>
    <x:row r="9" ht="27" customHeight="1">
      <x:c r="A9" s="6" t="str">
        <x:v>DI_SPARE_DRIVE_REMOVED_04</x:v>
      </x:c>
      <x:c r="B9" s="6" t="str">
        <x:v>DI</x:v>
      </x:c>
      <x:c r="C9" s="6" t="str">
        <x:v>I0.7</x:v>
      </x:c>
      <x:c r="D9" s="6" t="str">
        <x:v>-A102</x:v>
      </x:c>
      <x:c r="E9" s="6" t="str">
        <x:v>7</x:v>
      </x:c>
      <x:c r="F9" s="6" t="str">
        <x:v>SPARE</x:v>
      </x:c>
      <x:c r="G9" s="6" t="str">
        <x:v>Spare channel; hardwired drive run/status removed because Standard Telegram 1 PROFINET is primary</x:v>
      </x:c>
      <x:c r="H9" s="6" t="str">
        <x:v>FALSE</x:v>
      </x:c>
      <x:c r="I9" s="6" t="str">
        <x:v>Standard control</x:v>
      </x:c>
    </x:row>
    <x:row r="10" ht="27" customHeight="1">
      <x:c r="A10" s="6" t="str">
        <x:v>DI_SPARE_DRIVE_REMOVED_05</x:v>
      </x:c>
      <x:c r="B10" s="6" t="str">
        <x:v>DI</x:v>
      </x:c>
      <x:c r="C10" s="6" t="str">
        <x:v>I1.0</x:v>
      </x:c>
      <x:c r="D10" s="6" t="str">
        <x:v>-A102</x:v>
      </x:c>
      <x:c r="E10" s="6" t="str">
        <x:v>8</x:v>
      </x:c>
      <x:c r="F10" s="6" t="str">
        <x:v>SPARE</x:v>
      </x:c>
      <x:c r="G10" s="6" t="str">
        <x:v>Spare channel; hardwired drive run/status removed because Standard Telegram 1 PROFINET is primary</x:v>
      </x:c>
      <x:c r="H10" s="6" t="str">
        <x:v>FALSE</x:v>
      </x:c>
      <x:c r="I10" s="6" t="str">
        <x:v>Standard control</x:v>
      </x:c>
    </x:row>
    <x:row r="11" ht="27" customHeight="1">
      <x:c r="A11" s="6" t="str">
        <x:v>DI_SPARE_DRIVE_REMOVED_06</x:v>
      </x:c>
      <x:c r="B11" s="6" t="str">
        <x:v>DI</x:v>
      </x:c>
      <x:c r="C11" s="6" t="str">
        <x:v>I1.1</x:v>
      </x:c>
      <x:c r="D11" s="6" t="str">
        <x:v>-A102</x:v>
      </x:c>
      <x:c r="E11" s="6" t="str">
        <x:v>9</x:v>
      </x:c>
      <x:c r="F11" s="6" t="str">
        <x:v>SPARE</x:v>
      </x:c>
      <x:c r="G11" s="6" t="str">
        <x:v>Spare channel; hardwired drive run/status removed because Standard Telegram 1 PROFINET is primary</x:v>
      </x:c>
      <x:c r="H11" s="6" t="str">
        <x:v>FALSE</x:v>
      </x:c>
      <x:c r="I11" s="6" t="str">
        <x:v>Standard control</x:v>
      </x:c>
    </x:row>
    <x:row r="12" ht="27" customHeight="1">
      <x:c r="A12" s="6" t="str">
        <x:v>BOTTLE_AT_NEST_1</x:v>
      </x:c>
      <x:c r="B12" s="6" t="str">
        <x:v>DI</x:v>
      </x:c>
      <x:c r="C12" s="6" t="str">
        <x:v>I1.2</x:v>
      </x:c>
      <x:c r="D12" s="6" t="str">
        <x:v>-A102</x:v>
      </x:c>
      <x:c r="E12" s="6" t="str">
        <x:v>10</x:v>
      </x:c>
      <x:c r="F12" s="6" t="str">
        <x:v>-B110</x:v>
      </x:c>
      <x:c r="G12" s="6" t="str">
        <x:v>Bottle 1 position sensor</x:v>
      </x:c>
      <x:c r="H12" s="6" t="str">
        <x:v>FALSE</x:v>
      </x:c>
      <x:c r="I12" s="6" t="str">
        <x:v>Standard control</x:v>
      </x:c>
    </x:row>
    <x:row r="13" ht="27" customHeight="1">
      <x:c r="A13" s="6" t="str">
        <x:v>BOTTLE_AT_NEST_2</x:v>
      </x:c>
      <x:c r="B13" s="6" t="str">
        <x:v>DI</x:v>
      </x:c>
      <x:c r="C13" s="6" t="str">
        <x:v>I1.3</x:v>
      </x:c>
      <x:c r="D13" s="6" t="str">
        <x:v>-A102</x:v>
      </x:c>
      <x:c r="E13" s="6" t="str">
        <x:v>11</x:v>
      </x:c>
      <x:c r="F13" s="6" t="str">
        <x:v>-B111</x:v>
      </x:c>
      <x:c r="G13" s="6" t="str">
        <x:v>Bottle 2 position sensor</x:v>
      </x:c>
      <x:c r="H13" s="6" t="str">
        <x:v>FALSE</x:v>
      </x:c>
      <x:c r="I13" s="6" t="str">
        <x:v>Standard control</x:v>
      </x:c>
    </x:row>
    <x:row r="14" ht="27" customHeight="1">
      <x:c r="A14" s="6" t="str">
        <x:v>GATE_OPEN_FB</x:v>
      </x:c>
      <x:c r="B14" s="6" t="str">
        <x:v>DI</x:v>
      </x:c>
      <x:c r="C14" s="6" t="str">
        <x:v>I1.4</x:v>
      </x:c>
      <x:c r="D14" s="6" t="str">
        <x:v>-A102</x:v>
      </x:c>
      <x:c r="E14" s="6" t="str">
        <x:v>12</x:v>
      </x:c>
      <x:c r="F14" s="6" t="str">
        <x:v>-B120</x:v>
      </x:c>
      <x:c r="G14" s="6" t="str">
        <x:v>Gate open feedback</x:v>
      </x:c>
      <x:c r="H14" s="6" t="str">
        <x:v>FALSE</x:v>
      </x:c>
      <x:c r="I14" s="6" t="str">
        <x:v>Standard control</x:v>
      </x:c>
    </x:row>
    <x:row r="15" ht="27" customHeight="1">
      <x:c r="A15" s="6" t="str">
        <x:v>GATE_CLOSED_FB</x:v>
      </x:c>
      <x:c r="B15" s="6" t="str">
        <x:v>DI</x:v>
      </x:c>
      <x:c r="C15" s="6" t="str">
        <x:v>I1.5</x:v>
      </x:c>
      <x:c r="D15" s="6" t="str">
        <x:v>-A102</x:v>
      </x:c>
      <x:c r="E15" s="6" t="str">
        <x:v>13</x:v>
      </x:c>
      <x:c r="F15" s="6" t="str">
        <x:v>-B121</x:v>
      </x:c>
      <x:c r="G15" s="6" t="str">
        <x:v>Gate closed feedback</x:v>
      </x:c>
      <x:c r="H15" s="6" t="str">
        <x:v>FALSE</x:v>
      </x:c>
      <x:c r="I15" s="6" t="str">
        <x:v>Standard control</x:v>
      </x:c>
    </x:row>
    <x:row r="16" ht="27" customHeight="1">
      <x:c r="A16" s="6" t="str">
        <x:v>CLAMP_RELEASED_FB</x:v>
      </x:c>
      <x:c r="B16" s="6" t="str">
        <x:v>DI</x:v>
      </x:c>
      <x:c r="C16" s="6" t="str">
        <x:v>I1.6</x:v>
      </x:c>
      <x:c r="D16" s="6" t="str">
        <x:v>-A102</x:v>
      </x:c>
      <x:c r="E16" s="6" t="str">
        <x:v>14</x:v>
      </x:c>
      <x:c r="F16" s="6" t="str">
        <x:v>-B122</x:v>
      </x:c>
      <x:c r="G16" s="6" t="str">
        <x:v>Clamp released feedback</x:v>
      </x:c>
      <x:c r="H16" s="6" t="str">
        <x:v>FALSE</x:v>
      </x:c>
      <x:c r="I16" s="6" t="str">
        <x:v>Standard control</x:v>
      </x:c>
    </x:row>
    <x:row r="17" ht="27" customHeight="1">
      <x:c r="A17" s="6" t="str">
        <x:v>CLAMP_ENGAGED_FB</x:v>
      </x:c>
      <x:c r="B17" s="6" t="str">
        <x:v>DI</x:v>
      </x:c>
      <x:c r="C17" s="6" t="str">
        <x:v>I1.7</x:v>
      </x:c>
      <x:c r="D17" s="6" t="str">
        <x:v>-A102</x:v>
      </x:c>
      <x:c r="E17" s="6" t="str">
        <x:v>15</x:v>
      </x:c>
      <x:c r="F17" s="6" t="str">
        <x:v>-B123</x:v>
      </x:c>
      <x:c r="G17" s="6" t="str">
        <x:v>Clamp engaged feedback</x:v>
      </x:c>
      <x:c r="H17" s="6" t="str">
        <x:v>FALSE</x:v>
      </x:c>
      <x:c r="I17" s="6" t="str">
        <x:v>Standard control</x:v>
      </x:c>
    </x:row>
    <x:row r="18" ht="27" customHeight="1">
      <x:c r="A18" s="6" t="str">
        <x:v>FILL_VALVE_1_CLOSED_FB</x:v>
      </x:c>
      <x:c r="B18" s="6" t="str">
        <x:v>DI</x:v>
      </x:c>
      <x:c r="C18" s="6" t="str">
        <x:v>I2.0</x:v>
      </x:c>
      <x:c r="D18" s="6" t="str">
        <x:v>-A102</x:v>
      </x:c>
      <x:c r="E18" s="6" t="str">
        <x:v>16</x:v>
      </x:c>
      <x:c r="F18" s="6" t="str">
        <x:v>-B130</x:v>
      </x:c>
      <x:c r="G18" s="6" t="str">
        <x:v>Valve 1 closed proof</x:v>
      </x:c>
      <x:c r="H18" s="6" t="str">
        <x:v>FALSE</x:v>
      </x:c>
      <x:c r="I18" s="6" t="str">
        <x:v>Standard control</x:v>
      </x:c>
    </x:row>
    <x:row r="19" ht="27" customHeight="1">
      <x:c r="A19" s="6" t="str">
        <x:v>FILL_VALVE_2_CLOSED_FB</x:v>
      </x:c>
      <x:c r="B19" s="6" t="str">
        <x:v>DI</x:v>
      </x:c>
      <x:c r="C19" s="6" t="str">
        <x:v>I2.1</x:v>
      </x:c>
      <x:c r="D19" s="6" t="str">
        <x:v>-A102</x:v>
      </x:c>
      <x:c r="E19" s="6" t="str">
        <x:v>17</x:v>
      </x:c>
      <x:c r="F19" s="6" t="str">
        <x:v>-B131</x:v>
      </x:c>
      <x:c r="G19" s="6" t="str">
        <x:v>Valve 2 closed proof</x:v>
      </x:c>
      <x:c r="H19" s="6" t="str">
        <x:v>FALSE</x:v>
      </x:c>
      <x:c r="I19" s="6" t="str">
        <x:v>Standard control</x:v>
      </x:c>
    </x:row>
    <x:row r="20" ht="27" customHeight="1">
      <x:c r="A20" s="6" t="str">
        <x:v>CAPPER_READY</x:v>
      </x:c>
      <x:c r="B20" s="6" t="str">
        <x:v>DI</x:v>
      </x:c>
      <x:c r="C20" s="6" t="str">
        <x:v>I2.2</x:v>
      </x:c>
      <x:c r="D20" s="6" t="str">
        <x:v>-A102</x:v>
      </x:c>
      <x:c r="E20" s="6" t="str">
        <x:v>18</x:v>
      </x:c>
      <x:c r="F20" s="6" t="str">
        <x:v>-IF140</x:v>
      </x:c>
      <x:c r="G20" s="6" t="str">
        <x:v>Capping station ready</x:v>
      </x:c>
      <x:c r="H20" s="6" t="str">
        <x:v>FALSE</x:v>
      </x:c>
      <x:c r="I20" s="6" t="str">
        <x:v>Standard control</x:v>
      </x:c>
    </x:row>
    <x:row r="21" ht="27" customHeight="1">
      <x:c r="A21" s="6" t="str">
        <x:v>CAPPER_BUSY</x:v>
      </x:c>
      <x:c r="B21" s="6" t="str">
        <x:v>DI</x:v>
      </x:c>
      <x:c r="C21" s="6" t="str">
        <x:v>I2.3</x:v>
      </x:c>
      <x:c r="D21" s="6" t="str">
        <x:v>-A102</x:v>
      </x:c>
      <x:c r="E21" s="6" t="str">
        <x:v>19</x:v>
      </x:c>
      <x:c r="F21" s="6" t="str">
        <x:v>-IF140</x:v>
      </x:c>
      <x:c r="G21" s="6" t="str">
        <x:v>Capping station busy</x:v>
      </x:c>
      <x:c r="H21" s="6" t="str">
        <x:v>FALSE</x:v>
      </x:c>
      <x:c r="I21" s="6" t="str">
        <x:v>Standard control</x:v>
      </x:c>
    </x:row>
    <x:row r="22" ht="27" customHeight="1">
      <x:c r="A22" s="6" t="str">
        <x:v>CAPPER_COMPLETE</x:v>
      </x:c>
      <x:c r="B22" s="6" t="str">
        <x:v>DI</x:v>
      </x:c>
      <x:c r="C22" s="6" t="str">
        <x:v>I2.4</x:v>
      </x:c>
      <x:c r="D22" s="6" t="str">
        <x:v>-A102</x:v>
      </x:c>
      <x:c r="E22" s="6" t="str">
        <x:v>20</x:v>
      </x:c>
      <x:c r="F22" s="6" t="str">
        <x:v>-IF140</x:v>
      </x:c>
      <x:c r="G22" s="6" t="str">
        <x:v>Capping complete acknowledgement</x:v>
      </x:c>
      <x:c r="H22" s="6" t="str">
        <x:v>FALSE</x:v>
      </x:c>
      <x:c r="I22" s="6" t="str">
        <x:v>Standard control</x:v>
      </x:c>
    </x:row>
    <x:row r="23" ht="27" customHeight="1">
      <x:c r="A23" s="6" t="str">
        <x:v>CAPPER_FAULT</x:v>
      </x:c>
      <x:c r="B23" s="6" t="str">
        <x:v>DI</x:v>
      </x:c>
      <x:c r="C23" s="6" t="str">
        <x:v>I2.5</x:v>
      </x:c>
      <x:c r="D23" s="6" t="str">
        <x:v>-A102</x:v>
      </x:c>
      <x:c r="E23" s="6" t="str">
        <x:v>21</x:v>
      </x:c>
      <x:c r="F23" s="6" t="str">
        <x:v>-IF140</x:v>
      </x:c>
      <x:c r="G23" s="6" t="str">
        <x:v>Capping fault</x:v>
      </x:c>
      <x:c r="H23" s="6" t="str">
        <x:v>FALSE</x:v>
      </x:c>
      <x:c r="I23" s="6" t="str">
        <x:v>Standard control</x:v>
      </x:c>
    </x:row>
    <x:row r="24" ht="27" customHeight="1">
      <x:c r="A24" s="6" t="str">
        <x:v>LOCAL_RESET_PB</x:v>
      </x:c>
      <x:c r="B24" s="6" t="str">
        <x:v>DI</x:v>
      </x:c>
      <x:c r="C24" s="6" t="str">
        <x:v>I2.6</x:v>
      </x:c>
      <x:c r="D24" s="6" t="str">
        <x:v>-A102</x:v>
      </x:c>
      <x:c r="E24" s="6" t="str">
        <x:v>22</x:v>
      </x:c>
      <x:c r="F24" s="6" t="str">
        <x:v>-S100</x:v>
      </x:c>
      <x:c r="G24" s="6" t="str">
        <x:v>Local reset pushbutton</x:v>
      </x:c>
      <x:c r="H24" s="6" t="str">
        <x:v>FALSE</x:v>
      </x:c>
      <x:c r="I24" s="6" t="str">
        <x:v>Standard control</x:v>
      </x:c>
    </x:row>
    <x:row r="25" ht="27" customHeight="1">
      <x:c r="A25" s="6" t="str">
        <x:v>LOCAL_STOP_PB</x:v>
      </x:c>
      <x:c r="B25" s="6" t="str">
        <x:v>DI</x:v>
      </x:c>
      <x:c r="C25" s="6" t="str">
        <x:v>I2.7</x:v>
      </x:c>
      <x:c r="D25" s="6" t="str">
        <x:v>-A102</x:v>
      </x:c>
      <x:c r="E25" s="6" t="str">
        <x:v>23</x:v>
      </x:c>
      <x:c r="F25" s="6" t="str">
        <x:v>-S101</x:v>
      </x:c>
      <x:c r="G25" s="6" t="str">
        <x:v>Local controlled-stop pushbutton</x:v>
      </x:c>
      <x:c r="H25" s="6" t="str">
        <x:v>FALSE</x:v>
      </x:c>
      <x:c r="I25" s="6" t="str">
        <x:v>Standard control</x:v>
      </x:c>
    </x:row>
    <x:row r="26" ht="27" customHeight="1">
      <x:c r="A26" s="6" t="str">
        <x:v>DI_SPARE_01</x:v>
      </x:c>
      <x:c r="B26" s="6" t="str">
        <x:v>DI</x:v>
      </x:c>
      <x:c r="C26" s="6" t="str">
        <x:v>I3.0</x:v>
      </x:c>
      <x:c r="D26" s="6" t="str">
        <x:v>-A102</x:v>
      </x:c>
      <x:c r="E26" s="6" t="str">
        <x:v>24</x:v>
      </x:c>
      <x:c r="F26" s="6" t="str">
        <x:v>SPARE</x:v>
      </x:c>
      <x:c r="G26" s="6" t="str">
        <x:v>Allocated spare input</x:v>
      </x:c>
      <x:c r="H26" s="6" t="str">
        <x:v>FALSE</x:v>
      </x:c>
      <x:c r="I26" s="6" t="str">
        <x:v>Standard control</x:v>
      </x:c>
    </x:row>
    <x:row r="27" ht="27" customHeight="1">
      <x:c r="A27" s="6" t="str">
        <x:v>DI_SPARE_02</x:v>
      </x:c>
      <x:c r="B27" s="6" t="str">
        <x:v>DI</x:v>
      </x:c>
      <x:c r="C27" s="6" t="str">
        <x:v>I3.1</x:v>
      </x:c>
      <x:c r="D27" s="6" t="str">
        <x:v>-A102</x:v>
      </x:c>
      <x:c r="E27" s="6" t="str">
        <x:v>25</x:v>
      </x:c>
      <x:c r="F27" s="6" t="str">
        <x:v>SPARE</x:v>
      </x:c>
      <x:c r="G27" s="6" t="str">
        <x:v>Allocated spare input</x:v>
      </x:c>
      <x:c r="H27" s="6" t="str">
        <x:v>FALSE</x:v>
      </x:c>
      <x:c r="I27" s="6" t="str">
        <x:v>Standard control</x:v>
      </x:c>
    </x:row>
    <x:row r="28" ht="27" customHeight="1">
      <x:c r="A28" s="6" t="str">
        <x:v>DI_SPARE_03</x:v>
      </x:c>
      <x:c r="B28" s="6" t="str">
        <x:v>DI</x:v>
      </x:c>
      <x:c r="C28" s="6" t="str">
        <x:v>I3.2</x:v>
      </x:c>
      <x:c r="D28" s="6" t="str">
        <x:v>-A102</x:v>
      </x:c>
      <x:c r="E28" s="6" t="str">
        <x:v>26</x:v>
      </x:c>
      <x:c r="F28" s="6" t="str">
        <x:v>SPARE</x:v>
      </x:c>
      <x:c r="G28" s="6" t="str">
        <x:v>Allocated spare input</x:v>
      </x:c>
      <x:c r="H28" s="6" t="str">
        <x:v>FALSE</x:v>
      </x:c>
      <x:c r="I28" s="6" t="str">
        <x:v>Standard control</x:v>
      </x:c>
    </x:row>
    <x:row r="29" ht="27" customHeight="1">
      <x:c r="A29" s="6" t="str">
        <x:v>DI_SPARE_04</x:v>
      </x:c>
      <x:c r="B29" s="6" t="str">
        <x:v>DI</x:v>
      </x:c>
      <x:c r="C29" s="6" t="str">
        <x:v>I3.3</x:v>
      </x:c>
      <x:c r="D29" s="6" t="str">
        <x:v>-A102</x:v>
      </x:c>
      <x:c r="E29" s="6" t="str">
        <x:v>27</x:v>
      </x:c>
      <x:c r="F29" s="6" t="str">
        <x:v>SPARE</x:v>
      </x:c>
      <x:c r="G29" s="6" t="str">
        <x:v>Allocated spare input</x:v>
      </x:c>
      <x:c r="H29" s="6" t="str">
        <x:v>FALSE</x:v>
      </x:c>
      <x:c r="I29" s="6" t="str">
        <x:v>Standard control</x:v>
      </x:c>
    </x:row>
    <x:row r="30" ht="27" customHeight="1">
      <x:c r="A30" s="6" t="str">
        <x:v>DI_SPARE_05</x:v>
      </x:c>
      <x:c r="B30" s="6" t="str">
        <x:v>DI</x:v>
      </x:c>
      <x:c r="C30" s="6" t="str">
        <x:v>I3.4</x:v>
      </x:c>
      <x:c r="D30" s="6" t="str">
        <x:v>-A102</x:v>
      </x:c>
      <x:c r="E30" s="6" t="str">
        <x:v>28</x:v>
      </x:c>
      <x:c r="F30" s="6" t="str">
        <x:v>SPARE</x:v>
      </x:c>
      <x:c r="G30" s="6" t="str">
        <x:v>Allocated spare input</x:v>
      </x:c>
      <x:c r="H30" s="6" t="str">
        <x:v>FALSE</x:v>
      </x:c>
      <x:c r="I30" s="6" t="str">
        <x:v>Standard control</x:v>
      </x:c>
    </x:row>
    <x:row r="31" ht="27" customHeight="1">
      <x:c r="A31" s="6" t="str">
        <x:v>DI_SPARE_06</x:v>
      </x:c>
      <x:c r="B31" s="6" t="str">
        <x:v>DI</x:v>
      </x:c>
      <x:c r="C31" s="6" t="str">
        <x:v>I3.5</x:v>
      </x:c>
      <x:c r="D31" s="6" t="str">
        <x:v>-A102</x:v>
      </x:c>
      <x:c r="E31" s="6" t="str">
        <x:v>29</x:v>
      </x:c>
      <x:c r="F31" s="6" t="str">
        <x:v>SPARE</x:v>
      </x:c>
      <x:c r="G31" s="6" t="str">
        <x:v>Allocated spare input</x:v>
      </x:c>
      <x:c r="H31" s="6" t="str">
        <x:v>FALSE</x:v>
      </x:c>
      <x:c r="I31" s="6" t="str">
        <x:v>Standard control</x:v>
      </x:c>
    </x:row>
    <x:row r="32" ht="27" customHeight="1">
      <x:c r="A32" s="6" t="str">
        <x:v>DI_SPARE_07</x:v>
      </x:c>
      <x:c r="B32" s="6" t="str">
        <x:v>DI</x:v>
      </x:c>
      <x:c r="C32" s="6" t="str">
        <x:v>I3.6</x:v>
      </x:c>
      <x:c r="D32" s="6" t="str">
        <x:v>-A102</x:v>
      </x:c>
      <x:c r="E32" s="6" t="str">
        <x:v>30</x:v>
      </x:c>
      <x:c r="F32" s="6" t="str">
        <x:v>SPARE</x:v>
      </x:c>
      <x:c r="G32" s="6" t="str">
        <x:v>Allocated spare input</x:v>
      </x:c>
      <x:c r="H32" s="6" t="str">
        <x:v>FALSE</x:v>
      </x:c>
      <x:c r="I32" s="6" t="str">
        <x:v>Standard control</x:v>
      </x:c>
    </x:row>
    <x:row r="33" ht="27" customHeight="1">
      <x:c r="A33" s="6" t="str">
        <x:v>DI_SPARE_08</x:v>
      </x:c>
      <x:c r="B33" s="6" t="str">
        <x:v>DI</x:v>
      </x:c>
      <x:c r="C33" s="6" t="str">
        <x:v>I3.7</x:v>
      </x:c>
      <x:c r="D33" s="6" t="str">
        <x:v>-A102</x:v>
      </x:c>
      <x:c r="E33" s="6" t="str">
        <x:v>31</x:v>
      </x:c>
      <x:c r="F33" s="6" t="str">
        <x:v>SPARE</x:v>
      </x:c>
      <x:c r="G33" s="6" t="str">
        <x:v>Allocated spare input</x:v>
      </x:c>
      <x:c r="H33" s="6" t="str">
        <x:v>FALSE</x:v>
      </x:c>
      <x:c r="I33" s="6" t="str">
        <x:v>Standard control</x:v>
      </x:c>
    </x:row>
    <x:row r="34" ht="27" customHeight="1">
      <x:c r="A34" s="6" t="str">
        <x:v>DO_SPARE_DRIVE_REMOVED_01</x:v>
      </x:c>
      <x:c r="B34" s="6" t="str">
        <x:v>DO</x:v>
      </x:c>
      <x:c r="C34" s="6" t="str">
        <x:v>Q0.0</x:v>
      </x:c>
      <x:c r="D34" s="6" t="str">
        <x:v>-A103</x:v>
      </x:c>
      <x:c r="E34" s="6" t="str">
        <x:v>0</x:v>
      </x:c>
      <x:c r="F34" s="6" t="str">
        <x:v>SPARE</x:v>
      </x:c>
      <x:c r="G34" s="6" t="str">
        <x:v>Spare channel; hardwired drive run/status removed because Standard Telegram 1 PROFINET is primary</x:v>
      </x:c>
      <x:c r="H34" s="6" t="str">
        <x:v>FALSE</x:v>
      </x:c>
      <x:c r="I34" s="6" t="str">
        <x:v>Standard control</x:v>
      </x:c>
    </x:row>
    <x:row r="35" ht="27" customHeight="1">
      <x:c r="A35" s="6" t="str">
        <x:v>DO_SPARE_DRIVE_REMOVED_02</x:v>
      </x:c>
      <x:c r="B35" s="6" t="str">
        <x:v>DO</x:v>
      </x:c>
      <x:c r="C35" s="6" t="str">
        <x:v>Q0.1</x:v>
      </x:c>
      <x:c r="D35" s="6" t="str">
        <x:v>-A103</x:v>
      </x:c>
      <x:c r="E35" s="6" t="str">
        <x:v>1</x:v>
      </x:c>
      <x:c r="F35" s="6" t="str">
        <x:v>SPARE</x:v>
      </x:c>
      <x:c r="G35" s="6" t="str">
        <x:v>Spare channel; hardwired drive run/status removed because Standard Telegram 1 PROFINET is primary</x:v>
      </x:c>
      <x:c r="H35" s="6" t="str">
        <x:v>FALSE</x:v>
      </x:c>
      <x:c r="I35" s="6" t="str">
        <x:v>Standard control</x:v>
      </x:c>
    </x:row>
    <x:row r="36" ht="27" customHeight="1">
      <x:c r="A36" s="6" t="str">
        <x:v>FILL_VALVE_1_OPEN_CMD</x:v>
      </x:c>
      <x:c r="B36" s="6" t="str">
        <x:v>DO</x:v>
      </x:c>
      <x:c r="C36" s="6" t="str">
        <x:v>Q0.2</x:v>
      </x:c>
      <x:c r="D36" s="6" t="str">
        <x:v>-A103</x:v>
      </x:c>
      <x:c r="E36" s="6" t="str">
        <x:v>2</x:v>
      </x:c>
      <x:c r="F36" s="6" t="str">
        <x:v>-K202</x:v>
      </x:c>
      <x:c r="G36" s="6" t="str">
        <x:v>Valve 1 interposing relay</x:v>
      </x:c>
      <x:c r="H36" s="6" t="str">
        <x:v>FALSE</x:v>
      </x:c>
      <x:c r="I36" s="6" t="str">
        <x:v>Standard control</x:v>
      </x:c>
    </x:row>
    <x:row r="37" ht="27" customHeight="1">
      <x:c r="A37" s="6" t="str">
        <x:v>FILL_VALVE_2_OPEN_CMD</x:v>
      </x:c>
      <x:c r="B37" s="6" t="str">
        <x:v>DO</x:v>
      </x:c>
      <x:c r="C37" s="6" t="str">
        <x:v>Q0.3</x:v>
      </x:c>
      <x:c r="D37" s="6" t="str">
        <x:v>-A103</x:v>
      </x:c>
      <x:c r="E37" s="6" t="str">
        <x:v>3</x:v>
      </x:c>
      <x:c r="F37" s="6" t="str">
        <x:v>-K203</x:v>
      </x:c>
      <x:c r="G37" s="6" t="str">
        <x:v>Valve 2 interposing relay</x:v>
      </x:c>
      <x:c r="H37" s="6" t="str">
        <x:v>FALSE</x:v>
      </x:c>
      <x:c r="I37" s="6" t="str">
        <x:v>Standard control</x:v>
      </x:c>
    </x:row>
    <x:row r="38" ht="27" customHeight="1">
      <x:c r="A38" s="6" t="str">
        <x:v>GATE_OPEN_CMD</x:v>
      </x:c>
      <x:c r="B38" s="6" t="str">
        <x:v>DO</x:v>
      </x:c>
      <x:c r="C38" s="6" t="str">
        <x:v>Q0.4</x:v>
      </x:c>
      <x:c r="D38" s="6" t="str">
        <x:v>-A103</x:v>
      </x:c>
      <x:c r="E38" s="6" t="str">
        <x:v>4</x:v>
      </x:c>
      <x:c r="F38" s="6" t="str">
        <x:v>-K204</x:v>
      </x:c>
      <x:c r="G38" s="6" t="str">
        <x:v>Gate open relay</x:v>
      </x:c>
      <x:c r="H38" s="6" t="str">
        <x:v>FALSE</x:v>
      </x:c>
      <x:c r="I38" s="6" t="str">
        <x:v>Standard control</x:v>
      </x:c>
    </x:row>
    <x:row r="39" ht="27" customHeight="1">
      <x:c r="A39" s="6" t="str">
        <x:v>GATE_CLOSE_CMD</x:v>
      </x:c>
      <x:c r="B39" s="6" t="str">
        <x:v>DO</x:v>
      </x:c>
      <x:c r="C39" s="6" t="str">
        <x:v>Q0.5</x:v>
      </x:c>
      <x:c r="D39" s="6" t="str">
        <x:v>-A103</x:v>
      </x:c>
      <x:c r="E39" s="6" t="str">
        <x:v>5</x:v>
      </x:c>
      <x:c r="F39" s="6" t="str">
        <x:v>-K205</x:v>
      </x:c>
      <x:c r="G39" s="6" t="str">
        <x:v>Gate close relay</x:v>
      </x:c>
      <x:c r="H39" s="6" t="str">
        <x:v>FALSE</x:v>
      </x:c>
      <x:c r="I39" s="6" t="str">
        <x:v>Standard control</x:v>
      </x:c>
    </x:row>
    <x:row r="40" ht="27" customHeight="1">
      <x:c r="A40" s="6" t="str">
        <x:v>CLAMP_ENGAGE_CMD</x:v>
      </x:c>
      <x:c r="B40" s="6" t="str">
        <x:v>DO</x:v>
      </x:c>
      <x:c r="C40" s="6" t="str">
        <x:v>Q0.6</x:v>
      </x:c>
      <x:c r="D40" s="6" t="str">
        <x:v>-A103</x:v>
      </x:c>
      <x:c r="E40" s="6" t="str">
        <x:v>6</x:v>
      </x:c>
      <x:c r="F40" s="6" t="str">
        <x:v>-K206</x:v>
      </x:c>
      <x:c r="G40" s="6" t="str">
        <x:v>Clamp engage relay</x:v>
      </x:c>
      <x:c r="H40" s="6" t="str">
        <x:v>FALSE</x:v>
      </x:c>
      <x:c r="I40" s="6" t="str">
        <x:v>Standard control</x:v>
      </x:c>
    </x:row>
    <x:row r="41" ht="27" customHeight="1">
      <x:c r="A41" s="6" t="str">
        <x:v>CLAMP_RELEASE_CMD</x:v>
      </x:c>
      <x:c r="B41" s="6" t="str">
        <x:v>DO</x:v>
      </x:c>
      <x:c r="C41" s="6" t="str">
        <x:v>Q0.7</x:v>
      </x:c>
      <x:c r="D41" s="6" t="str">
        <x:v>-A103</x:v>
      </x:c>
      <x:c r="E41" s="6" t="str">
        <x:v>7</x:v>
      </x:c>
      <x:c r="F41" s="6" t="str">
        <x:v>-K207</x:v>
      </x:c>
      <x:c r="G41" s="6" t="str">
        <x:v>Clamp release relay</x:v>
      </x:c>
      <x:c r="H41" s="6" t="str">
        <x:v>FALSE</x:v>
      </x:c>
      <x:c r="I41" s="6" t="str">
        <x:v>Standard control</x:v>
      </x:c>
    </x:row>
    <x:row r="42" ht="27" customHeight="1">
      <x:c r="A42" s="6" t="str">
        <x:v>CAPPER_REQUEST</x:v>
      </x:c>
      <x:c r="B42" s="6" t="str">
        <x:v>DO</x:v>
      </x:c>
      <x:c r="C42" s="6" t="str">
        <x:v>Q1.0</x:v>
      </x:c>
      <x:c r="D42" s="6" t="str">
        <x:v>-A103</x:v>
      </x:c>
      <x:c r="E42" s="6" t="str">
        <x:v>8</x:v>
      </x:c>
      <x:c r="F42" s="6" t="str">
        <x:v>-K208</x:v>
      </x:c>
      <x:c r="G42" s="6" t="str">
        <x:v>Capping request relay</x:v>
      </x:c>
      <x:c r="H42" s="6" t="str">
        <x:v>FALSE</x:v>
      </x:c>
      <x:c r="I42" s="6" t="str">
        <x:v>Standard control</x:v>
      </x:c>
    </x:row>
    <x:row r="43" ht="27" customHeight="1">
      <x:c r="A43" s="6" t="str">
        <x:v>STACK_GREEN</x:v>
      </x:c>
      <x:c r="B43" s="6" t="str">
        <x:v>DO</x:v>
      </x:c>
      <x:c r="C43" s="6" t="str">
        <x:v>Q1.1</x:v>
      </x:c>
      <x:c r="D43" s="6" t="str">
        <x:v>-A103</x:v>
      </x:c>
      <x:c r="E43" s="6" t="str">
        <x:v>9</x:v>
      </x:c>
      <x:c r="F43" s="6" t="str">
        <x:v>-K209</x:v>
      </x:c>
      <x:c r="G43" s="6" t="str">
        <x:v>Green beacon relay</x:v>
      </x:c>
      <x:c r="H43" s="6" t="str">
        <x:v>FALSE</x:v>
      </x:c>
      <x:c r="I43" s="6" t="str">
        <x:v>Standard control</x:v>
      </x:c>
    </x:row>
    <x:row r="44" ht="27" customHeight="1">
      <x:c r="A44" s="6" t="str">
        <x:v>STACK_AMBER</x:v>
      </x:c>
      <x:c r="B44" s="6" t="str">
        <x:v>DO</x:v>
      </x:c>
      <x:c r="C44" s="6" t="str">
        <x:v>Q1.2</x:v>
      </x:c>
      <x:c r="D44" s="6" t="str">
        <x:v>-A103</x:v>
      </x:c>
      <x:c r="E44" s="6" t="str">
        <x:v>10</x:v>
      </x:c>
      <x:c r="F44" s="6" t="str">
        <x:v>-K210</x:v>
      </x:c>
      <x:c r="G44" s="6" t="str">
        <x:v>Amber beacon relay</x:v>
      </x:c>
      <x:c r="H44" s="6" t="str">
        <x:v>FALSE</x:v>
      </x:c>
      <x:c r="I44" s="6" t="str">
        <x:v>Standard control</x:v>
      </x:c>
    </x:row>
    <x:row r="45" ht="27" customHeight="1">
      <x:c r="A45" s="6" t="str">
        <x:v>STACK_RED</x:v>
      </x:c>
      <x:c r="B45" s="6" t="str">
        <x:v>DO</x:v>
      </x:c>
      <x:c r="C45" s="6" t="str">
        <x:v>Q1.3</x:v>
      </x:c>
      <x:c r="D45" s="6" t="str">
        <x:v>-A103</x:v>
      </x:c>
      <x:c r="E45" s="6" t="str">
        <x:v>11</x:v>
      </x:c>
      <x:c r="F45" s="6" t="str">
        <x:v>-K211</x:v>
      </x:c>
      <x:c r="G45" s="6" t="str">
        <x:v>Red beacon relay</x:v>
      </x:c>
      <x:c r="H45" s="6" t="str">
        <x:v>FALSE</x:v>
      </x:c>
      <x:c r="I45" s="6" t="str">
        <x:v>Standard control</x:v>
      </x:c>
    </x:row>
    <x:row r="46" ht="27" customHeight="1">
      <x:c r="A46" s="6" t="str">
        <x:v>AUDIBLE_ALARM</x:v>
      </x:c>
      <x:c r="B46" s="6" t="str">
        <x:v>DO</x:v>
      </x:c>
      <x:c r="C46" s="6" t="str">
        <x:v>Q1.4</x:v>
      </x:c>
      <x:c r="D46" s="6" t="str">
        <x:v>-A103</x:v>
      </x:c>
      <x:c r="E46" s="6" t="str">
        <x:v>12</x:v>
      </x:c>
      <x:c r="F46" s="6" t="str">
        <x:v>-K212</x:v>
      </x:c>
      <x:c r="G46" s="6" t="str">
        <x:v>Sounder relay</x:v>
      </x:c>
      <x:c r="H46" s="6" t="str">
        <x:v>FALSE</x:v>
      </x:c>
      <x:c r="I46" s="6" t="str">
        <x:v>Standard control</x:v>
      </x:c>
    </x:row>
    <x:row r="47" ht="27" customHeight="1">
      <x:c r="A47" s="6" t="str">
        <x:v>CAMERA_LIGHT_ENABLE</x:v>
      </x:c>
      <x:c r="B47" s="6" t="str">
        <x:v>DO</x:v>
      </x:c>
      <x:c r="C47" s="6" t="str">
        <x:v>Q1.5</x:v>
      </x:c>
      <x:c r="D47" s="6" t="str">
        <x:v>-A103</x:v>
      </x:c>
      <x:c r="E47" s="6" t="str">
        <x:v>13</x:v>
      </x:c>
      <x:c r="F47" s="6" t="str">
        <x:v>-K213</x:v>
      </x:c>
      <x:c r="G47" s="6" t="str">
        <x:v>Vision lighting relay</x:v>
      </x:c>
      <x:c r="H47" s="6" t="str">
        <x:v>FALSE</x:v>
      </x:c>
      <x:c r="I47" s="6" t="str">
        <x:v>Standard control</x:v>
      </x:c>
    </x:row>
    <x:row r="48" ht="27" customHeight="1">
      <x:c r="A48" s="6" t="str">
        <x:v>DO_SPARE_01</x:v>
      </x:c>
      <x:c r="B48" s="6" t="str">
        <x:v>DO</x:v>
      </x:c>
      <x:c r="C48" s="6" t="str">
        <x:v>Q1.6</x:v>
      </x:c>
      <x:c r="D48" s="6" t="str">
        <x:v>-A103</x:v>
      </x:c>
      <x:c r="E48" s="6" t="str">
        <x:v>14</x:v>
      </x:c>
      <x:c r="F48" s="6" t="str">
        <x:v>SPARE</x:v>
      </x:c>
      <x:c r="G48" s="6" t="str">
        <x:v>Allocated spare output</x:v>
      </x:c>
      <x:c r="H48" s="6" t="str">
        <x:v>FALSE</x:v>
      </x:c>
      <x:c r="I48" s="6" t="str">
        <x:v>Standard control</x:v>
      </x:c>
    </x:row>
    <x:row r="49" ht="27" customHeight="1">
      <x:c r="A49" s="6" t="str">
        <x:v>DO_SPARE_02</x:v>
      </x:c>
      <x:c r="B49" s="6" t="str">
        <x:v>DO</x:v>
      </x:c>
      <x:c r="C49" s="6" t="str">
        <x:v>Q1.7</x:v>
      </x:c>
      <x:c r="D49" s="6" t="str">
        <x:v>-A103</x:v>
      </x:c>
      <x:c r="E49" s="6" t="str">
        <x:v>15</x:v>
      </x:c>
      <x:c r="F49" s="6" t="str">
        <x:v>SPARE</x:v>
      </x:c>
      <x:c r="G49" s="6" t="str">
        <x:v>Allocated spare output</x:v>
      </x:c>
      <x:c r="H49" s="6" t="str">
        <x:v>FALSE</x:v>
      </x:c>
      <x:c r="I49" s="6" t="str">
        <x:v>Standard control</x:v>
      </x:c>
    </x:row>
    <x:row r="50" ht="27" customHeight="1">
      <x:c r="A50" s="6" t="str">
        <x:v>DO_SPARE_03</x:v>
      </x:c>
      <x:c r="B50" s="6" t="str">
        <x:v>DO</x:v>
      </x:c>
      <x:c r="C50" s="6" t="str">
        <x:v>Q2.0</x:v>
      </x:c>
      <x:c r="D50" s="6" t="str">
        <x:v>-A103</x:v>
      </x:c>
      <x:c r="E50" s="6" t="str">
        <x:v>16</x:v>
      </x:c>
      <x:c r="F50" s="6" t="str">
        <x:v>SPARE</x:v>
      </x:c>
      <x:c r="G50" s="6" t="str">
        <x:v>Allocated spare output</x:v>
      </x:c>
      <x:c r="H50" s="6" t="str">
        <x:v>FALSE</x:v>
      </x:c>
      <x:c r="I50" s="6" t="str">
        <x:v>Standard control</x:v>
      </x:c>
    </x:row>
    <x:row r="51" ht="27" customHeight="1">
      <x:c r="A51" s="6" t="str">
        <x:v>DO_SPARE_04</x:v>
      </x:c>
      <x:c r="B51" s="6" t="str">
        <x:v>DO</x:v>
      </x:c>
      <x:c r="C51" s="6" t="str">
        <x:v>Q2.1</x:v>
      </x:c>
      <x:c r="D51" s="6" t="str">
        <x:v>-A103</x:v>
      </x:c>
      <x:c r="E51" s="6" t="str">
        <x:v>17</x:v>
      </x:c>
      <x:c r="F51" s="6" t="str">
        <x:v>SPARE</x:v>
      </x:c>
      <x:c r="G51" s="6" t="str">
        <x:v>Allocated spare output</x:v>
      </x:c>
      <x:c r="H51" s="6" t="str">
        <x:v>FALSE</x:v>
      </x:c>
      <x:c r="I51" s="6" t="str">
        <x:v>Standard control</x:v>
      </x:c>
    </x:row>
    <x:row r="52" ht="27" customHeight="1">
      <x:c r="A52" s="6" t="str">
        <x:v>DO_SPARE_05</x:v>
      </x:c>
      <x:c r="B52" s="6" t="str">
        <x:v>DO</x:v>
      </x:c>
      <x:c r="C52" s="6" t="str">
        <x:v>Q2.2</x:v>
      </x:c>
      <x:c r="D52" s="6" t="str">
        <x:v>-A103</x:v>
      </x:c>
      <x:c r="E52" s="6" t="str">
        <x:v>18</x:v>
      </x:c>
      <x:c r="F52" s="6" t="str">
        <x:v>SPARE</x:v>
      </x:c>
      <x:c r="G52" s="6" t="str">
        <x:v>Allocated spare output</x:v>
      </x:c>
      <x:c r="H52" s="6" t="str">
        <x:v>FALSE</x:v>
      </x:c>
      <x:c r="I52" s="6" t="str">
        <x:v>Standard control</x:v>
      </x:c>
    </x:row>
    <x:row r="53" ht="27" customHeight="1">
      <x:c r="A53" s="6" t="str">
        <x:v>DO_SPARE_06</x:v>
      </x:c>
      <x:c r="B53" s="6" t="str">
        <x:v>DO</x:v>
      </x:c>
      <x:c r="C53" s="6" t="str">
        <x:v>Q2.3</x:v>
      </x:c>
      <x:c r="D53" s="6" t="str">
        <x:v>-A103</x:v>
      </x:c>
      <x:c r="E53" s="6" t="str">
        <x:v>19</x:v>
      </x:c>
      <x:c r="F53" s="6" t="str">
        <x:v>SPARE</x:v>
      </x:c>
      <x:c r="G53" s="6" t="str">
        <x:v>Allocated spare output</x:v>
      </x:c>
      <x:c r="H53" s="6" t="str">
        <x:v>FALSE</x:v>
      </x:c>
      <x:c r="I53" s="6" t="str">
        <x:v>Standard control</x:v>
      </x:c>
    </x:row>
    <x:row r="54" ht="27" customHeight="1">
      <x:c r="A54" s="6" t="str">
        <x:v>DO_SPARE_07</x:v>
      </x:c>
      <x:c r="B54" s="6" t="str">
        <x:v>DO</x:v>
      </x:c>
      <x:c r="C54" s="6" t="str">
        <x:v>Q2.4</x:v>
      </x:c>
      <x:c r="D54" s="6" t="str">
        <x:v>-A103</x:v>
      </x:c>
      <x:c r="E54" s="6" t="str">
        <x:v>20</x:v>
      </x:c>
      <x:c r="F54" s="6" t="str">
        <x:v>SPARE</x:v>
      </x:c>
      <x:c r="G54" s="6" t="str">
        <x:v>Allocated spare output</x:v>
      </x:c>
      <x:c r="H54" s="6" t="str">
        <x:v>FALSE</x:v>
      </x:c>
      <x:c r="I54" s="6" t="str">
        <x:v>Standard control</x:v>
      </x:c>
    </x:row>
    <x:row r="55" ht="27" customHeight="1">
      <x:c r="A55" s="6" t="str">
        <x:v>DO_SPARE_08</x:v>
      </x:c>
      <x:c r="B55" s="6" t="str">
        <x:v>DO</x:v>
      </x:c>
      <x:c r="C55" s="6" t="str">
        <x:v>Q2.5</x:v>
      </x:c>
      <x:c r="D55" s="6" t="str">
        <x:v>-A103</x:v>
      </x:c>
      <x:c r="E55" s="6" t="str">
        <x:v>21</x:v>
      </x:c>
      <x:c r="F55" s="6" t="str">
        <x:v>SPARE</x:v>
      </x:c>
      <x:c r="G55" s="6" t="str">
        <x:v>Allocated spare output</x:v>
      </x:c>
      <x:c r="H55" s="6" t="str">
        <x:v>FALSE</x:v>
      </x:c>
      <x:c r="I55" s="6" t="str">
        <x:v>Standard control</x:v>
      </x:c>
    </x:row>
    <x:row r="56" ht="27" customHeight="1">
      <x:c r="A56" s="6" t="str">
        <x:v>DO_SPARE_09</x:v>
      </x:c>
      <x:c r="B56" s="6" t="str">
        <x:v>DO</x:v>
      </x:c>
      <x:c r="C56" s="6" t="str">
        <x:v>Q2.6</x:v>
      </x:c>
      <x:c r="D56" s="6" t="str">
        <x:v>-A103</x:v>
      </x:c>
      <x:c r="E56" s="6" t="str">
        <x:v>22</x:v>
      </x:c>
      <x:c r="F56" s="6" t="str">
        <x:v>SPARE</x:v>
      </x:c>
      <x:c r="G56" s="6" t="str">
        <x:v>Allocated spare output</x:v>
      </x:c>
      <x:c r="H56" s="6" t="str">
        <x:v>FALSE</x:v>
      </x:c>
      <x:c r="I56" s="6" t="str">
        <x:v>Standard control</x:v>
      </x:c>
    </x:row>
    <x:row r="57" ht="27" customHeight="1">
      <x:c r="A57" s="6" t="str">
        <x:v>DO_SPARE_10</x:v>
      </x:c>
      <x:c r="B57" s="6" t="str">
        <x:v>DO</x:v>
      </x:c>
      <x:c r="C57" s="6" t="str">
        <x:v>Q2.7</x:v>
      </x:c>
      <x:c r="D57" s="6" t="str">
        <x:v>-A103</x:v>
      </x:c>
      <x:c r="E57" s="6" t="str">
        <x:v>23</x:v>
      </x:c>
      <x:c r="F57" s="6" t="str">
        <x:v>SPARE</x:v>
      </x:c>
      <x:c r="G57" s="6" t="str">
        <x:v>Allocated spare output</x:v>
      </x:c>
      <x:c r="H57" s="6" t="str">
        <x:v>FALSE</x:v>
      </x:c>
      <x:c r="I57" s="6" t="str">
        <x:v>Standard control</x:v>
      </x:c>
    </x:row>
    <x:row r="58" ht="27" customHeight="1">
      <x:c r="A58" s="6" t="str">
        <x:v>DO_SPARE_11</x:v>
      </x:c>
      <x:c r="B58" s="6" t="str">
        <x:v>DO</x:v>
      </x:c>
      <x:c r="C58" s="6" t="str">
        <x:v>Q3.0</x:v>
      </x:c>
      <x:c r="D58" s="6" t="str">
        <x:v>-A103</x:v>
      </x:c>
      <x:c r="E58" s="6" t="str">
        <x:v>24</x:v>
      </x:c>
      <x:c r="F58" s="6" t="str">
        <x:v>SPARE</x:v>
      </x:c>
      <x:c r="G58" s="6" t="str">
        <x:v>Allocated spare output</x:v>
      </x:c>
      <x:c r="H58" s="6" t="str">
        <x:v>FALSE</x:v>
      </x:c>
      <x:c r="I58" s="6" t="str">
        <x:v>Standard control</x:v>
      </x:c>
    </x:row>
    <x:row r="59" ht="27" customHeight="1">
      <x:c r="A59" s="6" t="str">
        <x:v>DO_SPARE_12</x:v>
      </x:c>
      <x:c r="B59" s="6" t="str">
        <x:v>DO</x:v>
      </x:c>
      <x:c r="C59" s="6" t="str">
        <x:v>Q3.1</x:v>
      </x:c>
      <x:c r="D59" s="6" t="str">
        <x:v>-A103</x:v>
      </x:c>
      <x:c r="E59" s="6" t="str">
        <x:v>25</x:v>
      </x:c>
      <x:c r="F59" s="6" t="str">
        <x:v>SPARE</x:v>
      </x:c>
      <x:c r="G59" s="6" t="str">
        <x:v>Allocated spare output</x:v>
      </x:c>
      <x:c r="H59" s="6" t="str">
        <x:v>FALSE</x:v>
      </x:c>
      <x:c r="I59" s="6" t="str">
        <x:v>Standard control</x:v>
      </x:c>
    </x:row>
    <x:row r="60" ht="27" customHeight="1">
      <x:c r="A60" s="6" t="str">
        <x:v>DO_SPARE_13</x:v>
      </x:c>
      <x:c r="B60" s="6" t="str">
        <x:v>DO</x:v>
      </x:c>
      <x:c r="C60" s="6" t="str">
        <x:v>Q3.2</x:v>
      </x:c>
      <x:c r="D60" s="6" t="str">
        <x:v>-A103</x:v>
      </x:c>
      <x:c r="E60" s="6" t="str">
        <x:v>26</x:v>
      </x:c>
      <x:c r="F60" s="6" t="str">
        <x:v>SPARE</x:v>
      </x:c>
      <x:c r="G60" s="6" t="str">
        <x:v>Allocated spare output</x:v>
      </x:c>
      <x:c r="H60" s="6" t="str">
        <x:v>FALSE</x:v>
      </x:c>
      <x:c r="I60" s="6" t="str">
        <x:v>Standard control</x:v>
      </x:c>
    </x:row>
    <x:row r="61" ht="27" customHeight="1">
      <x:c r="A61" s="6" t="str">
        <x:v>DO_SPARE_14</x:v>
      </x:c>
      <x:c r="B61" s="6" t="str">
        <x:v>DO</x:v>
      </x:c>
      <x:c r="C61" s="6" t="str">
        <x:v>Q3.3</x:v>
      </x:c>
      <x:c r="D61" s="6" t="str">
        <x:v>-A103</x:v>
      </x:c>
      <x:c r="E61" s="6" t="str">
        <x:v>27</x:v>
      </x:c>
      <x:c r="F61" s="6" t="str">
        <x:v>SPARE</x:v>
      </x:c>
      <x:c r="G61" s="6" t="str">
        <x:v>Allocated spare output</x:v>
      </x:c>
      <x:c r="H61" s="6" t="str">
        <x:v>FALSE</x:v>
      </x:c>
      <x:c r="I61" s="6" t="str">
        <x:v>Standard control</x:v>
      </x:c>
    </x:row>
    <x:row r="62" ht="27" customHeight="1">
      <x:c r="A62" s="6" t="str">
        <x:v>DO_SPARE_15</x:v>
      </x:c>
      <x:c r="B62" s="6" t="str">
        <x:v>DO</x:v>
      </x:c>
      <x:c r="C62" s="6" t="str">
        <x:v>Q3.4</x:v>
      </x:c>
      <x:c r="D62" s="6" t="str">
        <x:v>-A103</x:v>
      </x:c>
      <x:c r="E62" s="6" t="str">
        <x:v>28</x:v>
      </x:c>
      <x:c r="F62" s="6" t="str">
        <x:v>SPARE</x:v>
      </x:c>
      <x:c r="G62" s="6" t="str">
        <x:v>Allocated spare output</x:v>
      </x:c>
      <x:c r="H62" s="6" t="str">
        <x:v>FALSE</x:v>
      </x:c>
      <x:c r="I62" s="6" t="str">
        <x:v>Standard control</x:v>
      </x:c>
    </x:row>
    <x:row r="63" ht="27" customHeight="1">
      <x:c r="A63" s="6" t="str">
        <x:v>DO_SPARE_16</x:v>
      </x:c>
      <x:c r="B63" s="6" t="str">
        <x:v>DO</x:v>
      </x:c>
      <x:c r="C63" s="6" t="str">
        <x:v>Q3.5</x:v>
      </x:c>
      <x:c r="D63" s="6" t="str">
        <x:v>-A103</x:v>
      </x:c>
      <x:c r="E63" s="6" t="str">
        <x:v>29</x:v>
      </x:c>
      <x:c r="F63" s="6" t="str">
        <x:v>SPARE</x:v>
      </x:c>
      <x:c r="G63" s="6" t="str">
        <x:v>Allocated spare output</x:v>
      </x:c>
      <x:c r="H63" s="6" t="str">
        <x:v>FALSE</x:v>
      </x:c>
      <x:c r="I63" s="6" t="str">
        <x:v>Standard control</x:v>
      </x:c>
    </x:row>
    <x:row r="64" ht="27" customHeight="1">
      <x:c r="A64" s="6" t="str">
        <x:v>DO_SPARE_17</x:v>
      </x:c>
      <x:c r="B64" s="6" t="str">
        <x:v>DO</x:v>
      </x:c>
      <x:c r="C64" s="6" t="str">
        <x:v>Q3.6</x:v>
      </x:c>
      <x:c r="D64" s="6" t="str">
        <x:v>-A103</x:v>
      </x:c>
      <x:c r="E64" s="6" t="str">
        <x:v>30</x:v>
      </x:c>
      <x:c r="F64" s="6" t="str">
        <x:v>SPARE</x:v>
      </x:c>
      <x:c r="G64" s="6" t="str">
        <x:v>Allocated spare output</x:v>
      </x:c>
      <x:c r="H64" s="6" t="str">
        <x:v>FALSE</x:v>
      </x:c>
      <x:c r="I64" s="6" t="str">
        <x:v>Standard control</x:v>
      </x:c>
    </x:row>
    <x:row r="65" ht="27" customHeight="1">
      <x:c r="A65" s="6" t="str">
        <x:v>DO_SPARE_18</x:v>
      </x:c>
      <x:c r="B65" s="6" t="str">
        <x:v>DO</x:v>
      </x:c>
      <x:c r="C65" s="6" t="str">
        <x:v>Q3.7</x:v>
      </x:c>
      <x:c r="D65" s="6" t="str">
        <x:v>-A103</x:v>
      </x:c>
      <x:c r="E65" s="6" t="str">
        <x:v>31</x:v>
      </x:c>
      <x:c r="F65" s="6" t="str">
        <x:v>SPARE</x:v>
      </x:c>
      <x:c r="G65" s="6" t="str">
        <x:v>Allocated spare output</x:v>
      </x:c>
      <x:c r="H65" s="6" t="str">
        <x:v>FALSE</x:v>
      </x:c>
      <x:c r="I65" s="6" t="str">
        <x:v>Standard control</x:v>
      </x:c>
    </x:row>
    <x:row r="66" ht="27" customHeight="1">
      <x:c r="A66" s="6" t="str">
        <x:v>FLOW_1_MA_RAW</x:v>
      </x:c>
      <x:c r="B66" s="6" t="str">
        <x:v>AI</x:v>
      </x:c>
      <x:c r="C66" s="6" t="str">
        <x:v>IW64</x:v>
      </x:c>
      <x:c r="D66" s="6" t="str">
        <x:v>-A104</x:v>
      </x:c>
      <x:c r="E66" s="6" t="str">
        <x:v>0</x:v>
      </x:c>
      <x:c r="F66" s="6" t="str">
        <x:v>-FT100</x:v>
      </x:c>
      <x:c r="G66" s="6" t="str">
        <x:v>Flow channel 1 instantaneous 4–20 mA</x:v>
      </x:c>
      <x:c r="H66" s="6" t="str">
        <x:v>0</x:v>
      </x:c>
      <x:c r="I66" s="6" t="str">
        <x:v>Standard control</x:v>
      </x:c>
    </x:row>
    <x:row r="67" ht="27" customHeight="1">
      <x:c r="A67" s="6" t="str">
        <x:v>FLOW_2_MA_RAW</x:v>
      </x:c>
      <x:c r="B67" s="6" t="str">
        <x:v>AI</x:v>
      </x:c>
      <x:c r="C67" s="6" t="str">
        <x:v>IW66</x:v>
      </x:c>
      <x:c r="D67" s="6" t="str">
        <x:v>-A104</x:v>
      </x:c>
      <x:c r="E67" s="6" t="str">
        <x:v>1</x:v>
      </x:c>
      <x:c r="F67" s="6" t="str">
        <x:v>-FT101</x:v>
      </x:c>
      <x:c r="G67" s="6" t="str">
        <x:v>Flow channel 2 instantaneous 4–20 mA</x:v>
      </x:c>
      <x:c r="H67" s="6" t="str">
        <x:v>0</x:v>
      </x:c>
      <x:c r="I67" s="6" t="str">
        <x:v>Standard control</x:v>
      </x:c>
    </x:row>
    <x:row r="68" ht="27" customHeight="1">
      <x:c r="A68" s="6" t="str">
        <x:v>AI_SPARE_01</x:v>
      </x:c>
      <x:c r="B68" s="6" t="str">
        <x:v>AI</x:v>
      </x:c>
      <x:c r="C68" s="6" t="str">
        <x:v>IW68</x:v>
      </x:c>
      <x:c r="D68" s="6" t="str">
        <x:v>-A104</x:v>
      </x:c>
      <x:c r="E68" s="6" t="str">
        <x:v>2</x:v>
      </x:c>
      <x:c r="F68" s="6" t="str">
        <x:v>SPARE</x:v>
      </x:c>
      <x:c r="G68" s="6" t="str">
        <x:v>Allocated spare analog input</x:v>
      </x:c>
      <x:c r="H68" s="6" t="str">
        <x:v>0</x:v>
      </x:c>
      <x:c r="I68" s="6" t="str">
        <x:v>Standard control</x:v>
      </x:c>
    </x:row>
    <x:row r="69" ht="27" customHeight="1">
      <x:c r="A69" s="6" t="str">
        <x:v>AI_SPARE_02</x:v>
      </x:c>
      <x:c r="B69" s="6" t="str">
        <x:v>AI</x:v>
      </x:c>
      <x:c r="C69" s="6" t="str">
        <x:v>IW70</x:v>
      </x:c>
      <x:c r="D69" s="6" t="str">
        <x:v>-A104</x:v>
      </x:c>
      <x:c r="E69" s="6" t="str">
        <x:v>3</x:v>
      </x:c>
      <x:c r="F69" s="6" t="str">
        <x:v>SPARE</x:v>
      </x:c>
      <x:c r="G69" s="6" t="str">
        <x:v>Allocated spare analog input</x:v>
      </x:c>
      <x:c r="H69" s="6" t="str">
        <x:v>0</x:v>
      </x:c>
      <x:c r="I69" s="6" t="str">
        <x:v>Standard control</x:v>
      </x:c>
    </x:row>
    <x:row r="70" ht="27" customHeight="1">
      <x:c r="A70" s="6" t="str">
        <x:v>AI_SPARE_03</x:v>
      </x:c>
      <x:c r="B70" s="6" t="str">
        <x:v>AI</x:v>
      </x:c>
      <x:c r="C70" s="6" t="str">
        <x:v>IW72</x:v>
      </x:c>
      <x:c r="D70" s="6" t="str">
        <x:v>-A104</x:v>
      </x:c>
      <x:c r="E70" s="6" t="str">
        <x:v>4</x:v>
      </x:c>
      <x:c r="F70" s="6" t="str">
        <x:v>SPARE</x:v>
      </x:c>
      <x:c r="G70" s="6" t="str">
        <x:v>Allocated spare analog input</x:v>
      </x:c>
      <x:c r="H70" s="6" t="str">
        <x:v>0</x:v>
      </x:c>
      <x:c r="I70" s="6" t="str">
        <x:v>Standard control</x:v>
      </x:c>
    </x:row>
    <x:row r="71" ht="27" customHeight="1">
      <x:c r="A71" s="6" t="str">
        <x:v>AI_SPARE_04</x:v>
      </x:c>
      <x:c r="B71" s="6" t="str">
        <x:v>AI</x:v>
      </x:c>
      <x:c r="C71" s="6" t="str">
        <x:v>IW74</x:v>
      </x:c>
      <x:c r="D71" s="6" t="str">
        <x:v>-A104</x:v>
      </x:c>
      <x:c r="E71" s="6" t="str">
        <x:v>5</x:v>
      </x:c>
      <x:c r="F71" s="6" t="str">
        <x:v>SPARE</x:v>
      </x:c>
      <x:c r="G71" s="6" t="str">
        <x:v>Allocated spare analog input</x:v>
      </x:c>
      <x:c r="H71" s="6" t="str">
        <x:v>0</x:v>
      </x:c>
      <x:c r="I71" s="6" t="str">
        <x:v>Standard control</x:v>
      </x:c>
    </x:row>
    <x:row r="72" ht="27" customHeight="1">
      <x:c r="A72" s="6" t="str">
        <x:v>AI_SPARE_05</x:v>
      </x:c>
      <x:c r="B72" s="6" t="str">
        <x:v>AI</x:v>
      </x:c>
      <x:c r="C72" s="6" t="str">
        <x:v>IW76</x:v>
      </x:c>
      <x:c r="D72" s="6" t="str">
        <x:v>-A104</x:v>
      </x:c>
      <x:c r="E72" s="6" t="str">
        <x:v>6</x:v>
      </x:c>
      <x:c r="F72" s="6" t="str">
        <x:v>SPARE</x:v>
      </x:c>
      <x:c r="G72" s="6" t="str">
        <x:v>Allocated spare analog input</x:v>
      </x:c>
      <x:c r="H72" s="6" t="str">
        <x:v>0</x:v>
      </x:c>
      <x:c r="I72" s="6" t="str">
        <x:v>Standard control</x:v>
      </x:c>
    </x:row>
    <x:row r="73" ht="27" customHeight="1">
      <x:c r="A73" s="6" t="str">
        <x:v>AI_SPARE_06</x:v>
      </x:c>
      <x:c r="B73" s="6" t="str">
        <x:v>AI</x:v>
      </x:c>
      <x:c r="C73" s="6" t="str">
        <x:v>IW78</x:v>
      </x:c>
      <x:c r="D73" s="6" t="str">
        <x:v>-A104</x:v>
      </x:c>
      <x:c r="E73" s="6" t="str">
        <x:v>7</x:v>
      </x:c>
      <x:c r="F73" s="6" t="str">
        <x:v>SPARE</x:v>
      </x:c>
      <x:c r="G73" s="6" t="str">
        <x:v>Allocated spare analog input</x:v>
      </x:c>
      <x:c r="H73" s="6" t="str">
        <x:v>0</x:v>
      </x:c>
      <x:c r="I73" s="6" t="str">
        <x:v>Standard control</x:v>
      </x:c>
    </x:row>
    <x:row r="74" ht="27" customHeight="1">
      <x:c r="A74" s="6" t="str">
        <x:v>FLOW_1_PULSE</x:v>
      </x:c>
      <x:c r="B74" s="6" t="str">
        <x:v>HSC</x:v>
      </x:c>
      <x:c r="C74" s="6" t="str">
        <x:v>TM1.CH0.A</x:v>
      </x:c>
      <x:c r="D74" s="6" t="str">
        <x:v>-A101</x:v>
      </x:c>
      <x:c r="E74" s="6" t="str">
        <x:v>CH0 A</x:v>
      </x:c>
      <x:c r="F74" s="6" t="str">
        <x:v>-FT100</x:v>
      </x:c>
      <x:c r="G74" s="6" t="str">
        <x:v>24 V pulse input channel 1</x:v>
      </x:c>
      <x:c r="H74" s="6" t="str">
        <x:v>0</x:v>
      </x:c>
      <x:c r="I74" s="6" t="str">
        <x:v>Standard control</x:v>
      </x:c>
    </x:row>
    <x:row r="75" ht="27" customHeight="1">
      <x:c r="A75" s="6" t="str">
        <x:v>FLOW_2_PULSE</x:v>
      </x:c>
      <x:c r="B75" s="6" t="str">
        <x:v>HSC</x:v>
      </x:c>
      <x:c r="C75" s="6" t="str">
        <x:v>TM1.CH1.A</x:v>
      </x:c>
      <x:c r="D75" s="6" t="str">
        <x:v>-A101</x:v>
      </x:c>
      <x:c r="E75" s="6" t="str">
        <x:v>CH1 A</x:v>
      </x:c>
      <x:c r="F75" s="6" t="str">
        <x:v>-FT101</x:v>
      </x:c>
      <x:c r="G75" s="6" t="str">
        <x:v>24 V pulse input channel 2</x:v>
      </x:c>
      <x:c r="H75" s="6" t="str">
        <x:v>0</x:v>
      </x:c>
      <x:c r="I75" s="6" t="str">
        <x:v>Standard control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22.5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22.5" hidden="0" customWidth="1"/>
  </x:cols>
  <x:sheetData>
    <x:row r="1" ht="31.5" customHeight="1">
      <x:c r="A1" s="12" t="str">
        <x:v>drive</x:v>
      </x:c>
      <x:c r="B1" s="12" t="str">
        <x:v>name</x:v>
      </x:c>
      <x:c r="C1" s="12" t="str">
        <x:v>telegram</x:v>
      </x:c>
      <x:c r="D1" s="12" t="str">
        <x:v>direction</x:v>
      </x:c>
      <x:c r="E1" s="12" t="str">
        <x:v>pzd</x:v>
      </x:c>
      <x:c r="F1" s="12" t="str">
        <x:v>address</x:v>
      </x:c>
      <x:c r="G1" s="12" t="str">
        <x:v>signal</x:v>
      </x:c>
      <x:c r="H1" s="12" t="str">
        <x:v>data_type</x:v>
      </x:c>
      <x:c r="I1" s="12" t="str">
        <x:v>scaling</x:v>
      </x:c>
      <x:c r="J1" s="12" t="str">
        <x:v>status</x:v>
      </x:c>
    </x:row>
    <x:row r="2" ht="27" customHeight="1">
      <x:c r="A2" s="6" t="str">
        <x:v>-U100</x:v>
      </x:c>
      <x:c r="B2" s="6" t="str">
        <x:v>CONVEYOR</x:v>
      </x:c>
      <x:c r="C2" s="6" t="str">
        <x:v>Standard Telegram 1</x:v>
      </x:c>
      <x:c r="D2" s="6" t="str">
        <x:v>Drive_to_PLC</x:v>
      </x:c>
      <x:c r="E2" s="6" t="str">
        <x:v>1</x:v>
      </x:c>
      <x:c r="F2" s="6" t="str">
        <x:v>IW256</x:v>
      </x:c>
      <x:c r="G2" s="6" t="str">
        <x:v>ZSW1 status word</x:v>
      </x:c>
      <x:c r="H2" s="6" t="str">
        <x:v>WORD</x:v>
      </x:c>
      <x:c r="I2" s="6" t="str">
        <x:v>Bit-coded per SINAMICS</x:v>
      </x:c>
      <x:c r="J2" s="6" t="str">
        <x:v>Native Startdrive/TIA confirmation open</x:v>
      </x:c>
    </x:row>
    <x:row r="3" ht="27" customHeight="1">
      <x:c r="A3" s="6" t="str">
        <x:v>-U100</x:v>
      </x:c>
      <x:c r="B3" s="6" t="str">
        <x:v>CONVEYOR</x:v>
      </x:c>
      <x:c r="C3" s="6" t="str">
        <x:v>Standard Telegram 1</x:v>
      </x:c>
      <x:c r="D3" s="6" t="str">
        <x:v>Drive_to_PLC</x:v>
      </x:c>
      <x:c r="E3" s="6" t="str">
        <x:v>2</x:v>
      </x:c>
      <x:c r="F3" s="6" t="str">
        <x:v>IW258</x:v>
      </x:c>
      <x:c r="G3" s="6" t="str">
        <x:v>NIST_A actual speed</x:v>
      </x:c>
      <x:c r="H3" s="6" t="str">
        <x:v>INT</x:v>
      </x:c>
      <x:c r="I3" s="6" t="str">
        <x:v>16384 = 100% reference speed</x:v>
      </x:c>
      <x:c r="J3" s="6" t="str">
        <x:v>Native Startdrive/TIA confirmation open</x:v>
      </x:c>
    </x:row>
    <x:row r="4" ht="27" customHeight="1">
      <x:c r="A4" s="6" t="str">
        <x:v>-U100</x:v>
      </x:c>
      <x:c r="B4" s="6" t="str">
        <x:v>CONVEYOR</x:v>
      </x:c>
      <x:c r="C4" s="6" t="str">
        <x:v>Standard Telegram 1</x:v>
      </x:c>
      <x:c r="D4" s="6" t="str">
        <x:v>PLC_to_Drive</x:v>
      </x:c>
      <x:c r="E4" s="6" t="str">
        <x:v>1</x:v>
      </x:c>
      <x:c r="F4" s="6" t="str">
        <x:v>QW256</x:v>
      </x:c>
      <x:c r="G4" s="6" t="str">
        <x:v>STW1 control word</x:v>
      </x:c>
      <x:c r="H4" s="6" t="str">
        <x:v>WORD</x:v>
      </x:c>
      <x:c r="I4" s="6" t="str">
        <x:v>Bit-coded per SINAMICS</x:v>
      </x:c>
      <x:c r="J4" s="6" t="str">
        <x:v>Native Startdrive/TIA confirmation open</x:v>
      </x:c>
    </x:row>
    <x:row r="5" ht="27" customHeight="1">
      <x:c r="A5" s="6" t="str">
        <x:v>-U100</x:v>
      </x:c>
      <x:c r="B5" s="6" t="str">
        <x:v>CONVEYOR</x:v>
      </x:c>
      <x:c r="C5" s="6" t="str">
        <x:v>Standard Telegram 1</x:v>
      </x:c>
      <x:c r="D5" s="6" t="str">
        <x:v>PLC_to_Drive</x:v>
      </x:c>
      <x:c r="E5" s="6" t="str">
        <x:v>2</x:v>
      </x:c>
      <x:c r="F5" s="6" t="str">
        <x:v>QW258</x:v>
      </x:c>
      <x:c r="G5" s="6" t="str">
        <x:v>NSOLL_A speed setpoint</x:v>
      </x:c>
      <x:c r="H5" s="6" t="str">
        <x:v>INT</x:v>
      </x:c>
      <x:c r="I5" s="6" t="str">
        <x:v>16384 = 100% reference speed</x:v>
      </x:c>
      <x:c r="J5" s="6" t="str">
        <x:v>Native Startdrive/TIA confirmation open</x:v>
      </x:c>
    </x:row>
    <x:row r="6" ht="27" customHeight="1">
      <x:c r="A6" s="6" t="str">
        <x:v>-U101</x:v>
      </x:c>
      <x:c r="B6" s="6" t="str">
        <x:v>PUMP</x:v>
      </x:c>
      <x:c r="C6" s="6" t="str">
        <x:v>Standard Telegram 1</x:v>
      </x:c>
      <x:c r="D6" s="6" t="str">
        <x:v>Drive_to_PLC</x:v>
      </x:c>
      <x:c r="E6" s="6" t="str">
        <x:v>1</x:v>
      </x:c>
      <x:c r="F6" s="6" t="str">
        <x:v>IW260</x:v>
      </x:c>
      <x:c r="G6" s="6" t="str">
        <x:v>ZSW1 status word</x:v>
      </x:c>
      <x:c r="H6" s="6" t="str">
        <x:v>WORD</x:v>
      </x:c>
      <x:c r="I6" s="6" t="str">
        <x:v>Bit-coded per SINAMICS</x:v>
      </x:c>
      <x:c r="J6" s="6" t="str">
        <x:v>Native Startdrive/TIA confirmation open</x:v>
      </x:c>
    </x:row>
    <x:row r="7" ht="27" customHeight="1">
      <x:c r="A7" s="6" t="str">
        <x:v>-U101</x:v>
      </x:c>
      <x:c r="B7" s="6" t="str">
        <x:v>PUMP</x:v>
      </x:c>
      <x:c r="C7" s="6" t="str">
        <x:v>Standard Telegram 1</x:v>
      </x:c>
      <x:c r="D7" s="6" t="str">
        <x:v>Drive_to_PLC</x:v>
      </x:c>
      <x:c r="E7" s="6" t="str">
        <x:v>2</x:v>
      </x:c>
      <x:c r="F7" s="6" t="str">
        <x:v>IW262</x:v>
      </x:c>
      <x:c r="G7" s="6" t="str">
        <x:v>NIST_A actual speed</x:v>
      </x:c>
      <x:c r="H7" s="6" t="str">
        <x:v>INT</x:v>
      </x:c>
      <x:c r="I7" s="6" t="str">
        <x:v>16384 = 100% reference speed</x:v>
      </x:c>
      <x:c r="J7" s="6" t="str">
        <x:v>Native Startdrive/TIA confirmation open</x:v>
      </x:c>
    </x:row>
    <x:row r="8" ht="27" customHeight="1">
      <x:c r="A8" s="6" t="str">
        <x:v>-U101</x:v>
      </x:c>
      <x:c r="B8" s="6" t="str">
        <x:v>PUMP</x:v>
      </x:c>
      <x:c r="C8" s="6" t="str">
        <x:v>Standard Telegram 1</x:v>
      </x:c>
      <x:c r="D8" s="6" t="str">
        <x:v>PLC_to_Drive</x:v>
      </x:c>
      <x:c r="E8" s="6" t="str">
        <x:v>1</x:v>
      </x:c>
      <x:c r="F8" s="6" t="str">
        <x:v>QW260</x:v>
      </x:c>
      <x:c r="G8" s="6" t="str">
        <x:v>STW1 control word</x:v>
      </x:c>
      <x:c r="H8" s="6" t="str">
        <x:v>WORD</x:v>
      </x:c>
      <x:c r="I8" s="6" t="str">
        <x:v>Bit-coded per SINAMICS</x:v>
      </x:c>
      <x:c r="J8" s="6" t="str">
        <x:v>Native Startdrive/TIA confirmation open</x:v>
      </x:c>
    </x:row>
    <x:row r="9" ht="27" customHeight="1">
      <x:c r="A9" s="6" t="str">
        <x:v>-U101</x:v>
      </x:c>
      <x:c r="B9" s="6" t="str">
        <x:v>PUMP</x:v>
      </x:c>
      <x:c r="C9" s="6" t="str">
        <x:v>Standard Telegram 1</x:v>
      </x:c>
      <x:c r="D9" s="6" t="str">
        <x:v>PLC_to_Drive</x:v>
      </x:c>
      <x:c r="E9" s="6" t="str">
        <x:v>2</x:v>
      </x:c>
      <x:c r="F9" s="6" t="str">
        <x:v>QW262</x:v>
      </x:c>
      <x:c r="G9" s="6" t="str">
        <x:v>NSOLL_A speed setpoint</x:v>
      </x:c>
      <x:c r="H9" s="6" t="str">
        <x:v>INT</x:v>
      </x:c>
      <x:c r="I9" s="6" t="str">
        <x:v>16384 = 100% reference speed</x:v>
      </x:c>
      <x:c r="J9" s="6" t="str">
        <x:v>Native Startdrive/TIA confirmation open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31.5" customHeight="1">
      <x:c r="A1" s="12" t="str">
        <x:v>hmi_tag</x:v>
      </x:c>
      <x:c r="B1" s="12" t="str">
        <x:v>plc_source</x:v>
      </x:c>
      <x:c r="C1" s="12" t="str">
        <x:v>access</x:v>
      </x:c>
      <x:c r="D1" s="12" t="str">
        <x:v>command</x:v>
      </x:c>
      <x:c r="E1" s="12" t="str">
        <x:v>request_seq</x:v>
      </x:c>
      <x:c r="F1" s="12" t="str">
        <x:v>accepted_seq</x:v>
      </x:c>
      <x:c r="G1" s="12" t="str">
        <x:v>rejected_seq</x:v>
      </x:c>
      <x:c r="H1" s="12" t="str">
        <x:v>disabled_reason</x:v>
      </x:c>
      <x:c r="I1" s="12" t="str">
        <x:v>role</x:v>
      </x:c>
      <x:c r="J1" s="12" t="str">
        <x:v>screen</x:v>
      </x:c>
    </x:row>
    <x:row r="2" ht="27" customHeight="1">
      <x:c r="A2" s="6" t="str">
        <x:v>STATUS_MACHINE_STATE</x:v>
      </x:c>
      <x:c r="B2" s="6" t="str">
        <x:v>DB_HMI.StateCode</x:v>
      </x:c>
      <x:c r="C2" s="6" t="str">
        <x:v>Read only</x:v>
      </x:c>
      <x:c r="D2" s="6" t="str">
        <x:v>No</x:v>
      </x:c>
      <x:c r="E2" s="6" t="str"/>
      <x:c r="F2" s="6" t="str"/>
      <x:c r="G2" s="6" t="str"/>
      <x:c r="H2" s="6" t="str"/>
      <x:c r="I2" s="6" t="str">
        <x:v>Operator</x:v>
      </x:c>
      <x:c r="J2" s="6" t="str">
        <x:v>Overview</x:v>
      </x:c>
    </x:row>
    <x:row r="3" ht="27" customHeight="1">
      <x:c r="A3" s="6" t="str">
        <x:v>STATUS_AUTO_STEP</x:v>
      </x:c>
      <x:c r="B3" s="6" t="str">
        <x:v>DB_HMI.AutoStepCode</x:v>
      </x:c>
      <x:c r="C3" s="6" t="str">
        <x:v>Read only</x:v>
      </x:c>
      <x:c r="D3" s="6" t="str">
        <x:v>No</x:v>
      </x:c>
      <x:c r="E3" s="6" t="str"/>
      <x:c r="F3" s="6" t="str"/>
      <x:c r="G3" s="6" t="str"/>
      <x:c r="H3" s="6" t="str"/>
      <x:c r="I3" s="6" t="str">
        <x:v>Operator</x:v>
      </x:c>
      <x:c r="J3" s="6" t="str">
        <x:v>Overview</x:v>
      </x:c>
    </x:row>
    <x:row r="4" ht="27" customHeight="1">
      <x:c r="A4" s="6" t="str">
        <x:v>STATUS_QUALITY_HOLD</x:v>
      </x:c>
      <x:c r="B4" s="6" t="str">
        <x:v>DB_HMI.QualityHold</x:v>
      </x:c>
      <x:c r="C4" s="6" t="str">
        <x:v>Read only</x:v>
      </x:c>
      <x:c r="D4" s="6" t="str">
        <x:v>No</x:v>
      </x:c>
      <x:c r="E4" s="6" t="str"/>
      <x:c r="F4" s="6" t="str"/>
      <x:c r="G4" s="6" t="str"/>
      <x:c r="H4" s="6" t="str"/>
      <x:c r="I4" s="6" t="str">
        <x:v>Operator</x:v>
      </x:c>
      <x:c r="J4" s="6" t="str">
        <x:v>Overview</x:v>
      </x:c>
    </x:row>
    <x:row r="5" ht="27" customHeight="1">
      <x:c r="A5" s="6" t="str">
        <x:v>STATUS_FIRST_OUT_ALARM</x:v>
      </x:c>
      <x:c r="B5" s="6" t="str">
        <x:v>DB_HMI.FirstOutAlarm</x:v>
      </x:c>
      <x:c r="C5" s="6" t="str">
        <x:v>Read only</x:v>
      </x:c>
      <x:c r="D5" s="6" t="str">
        <x:v>No</x:v>
      </x:c>
      <x:c r="E5" s="6" t="str"/>
      <x:c r="F5" s="6" t="str"/>
      <x:c r="G5" s="6" t="str"/>
      <x:c r="H5" s="6" t="str"/>
      <x:c r="I5" s="6" t="str">
        <x:v>Operator</x:v>
      </x:c>
      <x:c r="J5" s="6" t="str">
        <x:v>Alarms</x:v>
      </x:c>
    </x:row>
    <x:row r="6" ht="27" customHeight="1">
      <x:c r="A6" s="6" t="str">
        <x:v>STATUS_SAFETY_OK</x:v>
      </x:c>
      <x:c r="B6" s="6" t="str">
        <x:v>DB_IO.Inputs.SafetyOk</x:v>
      </x:c>
      <x:c r="C6" s="6" t="str">
        <x:v>Read only</x:v>
      </x:c>
      <x:c r="D6" s="6" t="str">
        <x:v>No</x:v>
      </x:c>
      <x:c r="E6" s="6" t="str"/>
      <x:c r="F6" s="6" t="str"/>
      <x:c r="G6" s="6" t="str"/>
      <x:c r="H6" s="6" t="str"/>
      <x:c r="I6" s="6" t="str">
        <x:v>Operator</x:v>
      </x:c>
      <x:c r="J6" s="6" t="str">
        <x:v>Diagnostics</x:v>
      </x:c>
    </x:row>
    <x:row r="7" ht="27" customHeight="1">
      <x:c r="A7" s="6" t="str">
        <x:v>STATUS_GUARD_CLOSED_STATUS</x:v>
      </x:c>
      <x:c r="B7" s="6" t="str">
        <x:v>DB_IO.Inputs.GuardClosed</x:v>
      </x:c>
      <x:c r="C7" s="6" t="str">
        <x:v>Read only</x:v>
      </x:c>
      <x:c r="D7" s="6" t="str">
        <x:v>No</x:v>
      </x:c>
      <x:c r="E7" s="6" t="str"/>
      <x:c r="F7" s="6" t="str"/>
      <x:c r="G7" s="6" t="str"/>
      <x:c r="H7" s="6" t="str"/>
      <x:c r="I7" s="6" t="str">
        <x:v>Operator</x:v>
      </x:c>
      <x:c r="J7" s="6" t="str">
        <x:v>Diagnostics</x:v>
      </x:c>
    </x:row>
    <x:row r="8" ht="27" customHeight="1">
      <x:c r="A8" s="6" t="str">
        <x:v>STATUS_AIR_PRESSURE_OK</x:v>
      </x:c>
      <x:c r="B8" s="6" t="str">
        <x:v>DB_IO.Inputs.AirPressureOk</x:v>
      </x:c>
      <x:c r="C8" s="6" t="str">
        <x:v>Read only</x:v>
      </x:c>
      <x:c r="D8" s="6" t="str">
        <x:v>No</x:v>
      </x:c>
      <x:c r="E8" s="6" t="str"/>
      <x:c r="F8" s="6" t="str"/>
      <x:c r="G8" s="6" t="str"/>
      <x:c r="H8" s="6" t="str"/>
      <x:c r="I8" s="6" t="str">
        <x:v>Operator</x:v>
      </x:c>
      <x:c r="J8" s="6" t="str">
        <x:v>Diagnostics</x:v>
      </x:c>
    </x:row>
    <x:row r="9" ht="27" customHeight="1">
      <x:c r="A9" s="6" t="str">
        <x:v>STATUS_PRODUCT_SUPPLY_OK</x:v>
      </x:c>
      <x:c r="B9" s="6" t="str">
        <x:v>DB_IO.Inputs.ProductSupplyOk</x:v>
      </x:c>
      <x:c r="C9" s="6" t="str">
        <x:v>Read only</x:v>
      </x:c>
      <x:c r="D9" s="6" t="str">
        <x:v>No</x:v>
      </x:c>
      <x:c r="E9" s="6" t="str"/>
      <x:c r="F9" s="6" t="str"/>
      <x:c r="G9" s="6" t="str"/>
      <x:c r="H9" s="6" t="str"/>
      <x:c r="I9" s="6" t="str">
        <x:v>Operator</x:v>
      </x:c>
      <x:c r="J9" s="6" t="str">
        <x:v>Diagnostics</x:v>
      </x:c>
    </x:row>
    <x:row r="10" ht="27" customHeight="1">
      <x:c r="A10" s="6" t="str">
        <x:v>STATUS_BOTTLE_AT_NEST_1</x:v>
      </x:c>
      <x:c r="B10" s="6" t="str">
        <x:v>DB_IO.Inputs.Bottle1Present</x:v>
      </x:c>
      <x:c r="C10" s="6" t="str">
        <x:v>Read only</x:v>
      </x:c>
      <x:c r="D10" s="6" t="str">
        <x:v>No</x:v>
      </x:c>
      <x:c r="E10" s="6" t="str"/>
      <x:c r="F10" s="6" t="str"/>
      <x:c r="G10" s="6" t="str"/>
      <x:c r="H10" s="6" t="str"/>
      <x:c r="I10" s="6" t="str">
        <x:v>Operator</x:v>
      </x:c>
      <x:c r="J10" s="6" t="str">
        <x:v>Overview</x:v>
      </x:c>
    </x:row>
    <x:row r="11" ht="27" customHeight="1">
      <x:c r="A11" s="6" t="str">
        <x:v>STATUS_BOTTLE_AT_NEST_2</x:v>
      </x:c>
      <x:c r="B11" s="6" t="str">
        <x:v>DB_IO.Inputs.Bottle2Present</x:v>
      </x:c>
      <x:c r="C11" s="6" t="str">
        <x:v>Read only</x:v>
      </x:c>
      <x:c r="D11" s="6" t="str">
        <x:v>No</x:v>
      </x:c>
      <x:c r="E11" s="6" t="str"/>
      <x:c r="F11" s="6" t="str"/>
      <x:c r="G11" s="6" t="str"/>
      <x:c r="H11" s="6" t="str"/>
      <x:c r="I11" s="6" t="str">
        <x:v>Operator</x:v>
      </x:c>
      <x:c r="J11" s="6" t="str">
        <x:v>Overview</x:v>
      </x:c>
    </x:row>
    <x:row r="12" ht="27" customHeight="1">
      <x:c r="A12" s="6" t="str">
        <x:v>STATUS_GATE_OPEN_FB</x:v>
      </x:c>
      <x:c r="B12" s="6" t="str">
        <x:v>DB_IO.Inputs.GateOpen</x:v>
      </x:c>
      <x:c r="C12" s="6" t="str">
        <x:v>Read only</x:v>
      </x:c>
      <x:c r="D12" s="6" t="str">
        <x:v>No</x:v>
      </x:c>
      <x:c r="E12" s="6" t="str"/>
      <x:c r="F12" s="6" t="str"/>
      <x:c r="G12" s="6" t="str"/>
      <x:c r="H12" s="6" t="str"/>
      <x:c r="I12" s="6" t="str">
        <x:v>Operator</x:v>
      </x:c>
      <x:c r="J12" s="6" t="str">
        <x:v>Diagnostics</x:v>
      </x:c>
    </x:row>
    <x:row r="13" ht="27" customHeight="1">
      <x:c r="A13" s="6" t="str">
        <x:v>STATUS_GATE_CLOSED_FB</x:v>
      </x:c>
      <x:c r="B13" s="6" t="str">
        <x:v>DB_IO.Inputs.GateClosed</x:v>
      </x:c>
      <x:c r="C13" s="6" t="str">
        <x:v>Read only</x:v>
      </x:c>
      <x:c r="D13" s="6" t="str">
        <x:v>No</x:v>
      </x:c>
      <x:c r="E13" s="6" t="str"/>
      <x:c r="F13" s="6" t="str"/>
      <x:c r="G13" s="6" t="str"/>
      <x:c r="H13" s="6" t="str"/>
      <x:c r="I13" s="6" t="str">
        <x:v>Operator</x:v>
      </x:c>
      <x:c r="J13" s="6" t="str">
        <x:v>Diagnostics</x:v>
      </x:c>
    </x:row>
    <x:row r="14" ht="27" customHeight="1">
      <x:c r="A14" s="6" t="str">
        <x:v>STATUS_CLAMP_RELEASED_FB</x:v>
      </x:c>
      <x:c r="B14" s="6" t="str">
        <x:v>DB_IO.Inputs.ClampReleased</x:v>
      </x:c>
      <x:c r="C14" s="6" t="str">
        <x:v>Read only</x:v>
      </x:c>
      <x:c r="D14" s="6" t="str">
        <x:v>No</x:v>
      </x:c>
      <x:c r="E14" s="6" t="str"/>
      <x:c r="F14" s="6" t="str"/>
      <x:c r="G14" s="6" t="str"/>
      <x:c r="H14" s="6" t="str"/>
      <x:c r="I14" s="6" t="str">
        <x:v>Operator</x:v>
      </x:c>
      <x:c r="J14" s="6" t="str">
        <x:v>Diagnostics</x:v>
      </x:c>
    </x:row>
    <x:row r="15" ht="27" customHeight="1">
      <x:c r="A15" s="6" t="str">
        <x:v>STATUS_CLAMP_ENGAGED_FB</x:v>
      </x:c>
      <x:c r="B15" s="6" t="str">
        <x:v>DB_IO.Inputs.ClampEngaged</x:v>
      </x:c>
      <x:c r="C15" s="6" t="str">
        <x:v>Read only</x:v>
      </x:c>
      <x:c r="D15" s="6" t="str">
        <x:v>No</x:v>
      </x:c>
      <x:c r="E15" s="6" t="str"/>
      <x:c r="F15" s="6" t="str"/>
      <x:c r="G15" s="6" t="str"/>
      <x:c r="H15" s="6" t="str"/>
      <x:c r="I15" s="6" t="str">
        <x:v>Operator</x:v>
      </x:c>
      <x:c r="J15" s="6" t="str">
        <x:v>Diagnostics</x:v>
      </x:c>
    </x:row>
    <x:row r="16" ht="27" customHeight="1">
      <x:c r="A16" s="6" t="str">
        <x:v>STATUS_FILL_VALVE_1_CLOSED_FB</x:v>
      </x:c>
      <x:c r="B16" s="6" t="str">
        <x:v>DB_IO.Inputs.Valve1Closed</x:v>
      </x:c>
      <x:c r="C16" s="6" t="str">
        <x:v>Read only</x:v>
      </x:c>
      <x:c r="D16" s="6" t="str">
        <x:v>No</x:v>
      </x:c>
      <x:c r="E16" s="6" t="str"/>
      <x:c r="F16" s="6" t="str"/>
      <x:c r="G16" s="6" t="str"/>
      <x:c r="H16" s="6" t="str"/>
      <x:c r="I16" s="6" t="str">
        <x:v>Operator</x:v>
      </x:c>
      <x:c r="J16" s="6" t="str">
        <x:v>Filling</x:v>
      </x:c>
    </x:row>
    <x:row r="17" ht="27" customHeight="1">
      <x:c r="A17" s="6" t="str">
        <x:v>STATUS_FILL_VALVE_2_CLOSED_FB</x:v>
      </x:c>
      <x:c r="B17" s="6" t="str">
        <x:v>DB_IO.Inputs.Valve2Closed</x:v>
      </x:c>
      <x:c r="C17" s="6" t="str">
        <x:v>Read only</x:v>
      </x:c>
      <x:c r="D17" s="6" t="str">
        <x:v>No</x:v>
      </x:c>
      <x:c r="E17" s="6" t="str"/>
      <x:c r="F17" s="6" t="str"/>
      <x:c r="G17" s="6" t="str"/>
      <x:c r="H17" s="6" t="str"/>
      <x:c r="I17" s="6" t="str">
        <x:v>Operator</x:v>
      </x:c>
      <x:c r="J17" s="6" t="str">
        <x:v>Filling</x:v>
      </x:c>
    </x:row>
    <x:row r="18" ht="27" customHeight="1">
      <x:c r="A18" s="6" t="str">
        <x:v>STATUS_FLOW_1_MA_RAW</x:v>
      </x:c>
      <x:c r="B18" s="6" t="str">
        <x:v>DB_IO.Inputs.Flow1Raw</x:v>
      </x:c>
      <x:c r="C18" s="6" t="str">
        <x:v>Read only</x:v>
      </x:c>
      <x:c r="D18" s="6" t="str">
        <x:v>No</x:v>
      </x:c>
      <x:c r="E18" s="6" t="str"/>
      <x:c r="F18" s="6" t="str"/>
      <x:c r="G18" s="6" t="str"/>
      <x:c r="H18" s="6" t="str"/>
      <x:c r="I18" s="6" t="str">
        <x:v>Operator</x:v>
      </x:c>
      <x:c r="J18" s="6" t="str">
        <x:v>Filling</x:v>
      </x:c>
    </x:row>
    <x:row r="19" ht="27" customHeight="1">
      <x:c r="A19" s="6" t="str">
        <x:v>STATUS_FLOW_2_MA_RAW</x:v>
      </x:c>
      <x:c r="B19" s="6" t="str">
        <x:v>DB_IO.Inputs.Flow2Raw</x:v>
      </x:c>
      <x:c r="C19" s="6" t="str">
        <x:v>Read only</x:v>
      </x:c>
      <x:c r="D19" s="6" t="str">
        <x:v>No</x:v>
      </x:c>
      <x:c r="E19" s="6" t="str"/>
      <x:c r="F19" s="6" t="str"/>
      <x:c r="G19" s="6" t="str"/>
      <x:c r="H19" s="6" t="str"/>
      <x:c r="I19" s="6" t="str">
        <x:v>Operator</x:v>
      </x:c>
      <x:c r="J19" s="6" t="str">
        <x:v>Filling</x:v>
      </x:c>
    </x:row>
    <x:row r="20" ht="27" customHeight="1">
      <x:c r="A20" s="6" t="str">
        <x:v>STATUS_FLOW_1_DELIVERED_ML</x:v>
      </x:c>
      <x:c r="B20" s="6" t="str">
        <x:v>DB_CellMain.FillCh1.DeliveredMl</x:v>
      </x:c>
      <x:c r="C20" s="6" t="str">
        <x:v>Read only</x:v>
      </x:c>
      <x:c r="D20" s="6" t="str">
        <x:v>No</x:v>
      </x:c>
      <x:c r="E20" s="6" t="str"/>
      <x:c r="F20" s="6" t="str"/>
      <x:c r="G20" s="6" t="str"/>
      <x:c r="H20" s="6" t="str"/>
      <x:c r="I20" s="6" t="str">
        <x:v>Operator</x:v>
      </x:c>
      <x:c r="J20" s="6" t="str">
        <x:v>Filling</x:v>
      </x:c>
    </x:row>
    <x:row r="21" ht="27" customHeight="1">
      <x:c r="A21" s="6" t="str">
        <x:v>STATUS_FLOW_2_DELIVERED_ML</x:v>
      </x:c>
      <x:c r="B21" s="6" t="str">
        <x:v>DB_CellMain.FillCh2.DeliveredMl</x:v>
      </x:c>
      <x:c r="C21" s="6" t="str">
        <x:v>Read only</x:v>
      </x:c>
      <x:c r="D21" s="6" t="str">
        <x:v>No</x:v>
      </x:c>
      <x:c r="E21" s="6" t="str"/>
      <x:c r="F21" s="6" t="str"/>
      <x:c r="G21" s="6" t="str"/>
      <x:c r="H21" s="6" t="str"/>
      <x:c r="I21" s="6" t="str">
        <x:v>Operator</x:v>
      </x:c>
      <x:c r="J21" s="6" t="str">
        <x:v>Filling</x:v>
      </x:c>
    </x:row>
    <x:row r="22" ht="27" customHeight="1">
      <x:c r="A22" s="6" t="str">
        <x:v>STATUS_FILL_1_DIAG</x:v>
      </x:c>
      <x:c r="B22" s="6" t="str">
        <x:v>DB_CellMain.FillCh1.DiagReason</x:v>
      </x:c>
      <x:c r="C22" s="6" t="str">
        <x:v>Read only</x:v>
      </x:c>
      <x:c r="D22" s="6" t="str">
        <x:v>No</x:v>
      </x:c>
      <x:c r="E22" s="6" t="str"/>
      <x:c r="F22" s="6" t="str"/>
      <x:c r="G22" s="6" t="str"/>
      <x:c r="H22" s="6" t="str"/>
      <x:c r="I22" s="6" t="str">
        <x:v>Operator</x:v>
      </x:c>
      <x:c r="J22" s="6" t="str">
        <x:v>Filling</x:v>
      </x:c>
    </x:row>
    <x:row r="23" ht="27" customHeight="1">
      <x:c r="A23" s="6" t="str">
        <x:v>STATUS_FILL_2_DIAG</x:v>
      </x:c>
      <x:c r="B23" s="6" t="str">
        <x:v>DB_CellMain.FillCh2.DiagReason</x:v>
      </x:c>
      <x:c r="C23" s="6" t="str">
        <x:v>Read only</x:v>
      </x:c>
      <x:c r="D23" s="6" t="str">
        <x:v>No</x:v>
      </x:c>
      <x:c r="E23" s="6" t="str"/>
      <x:c r="F23" s="6" t="str"/>
      <x:c r="G23" s="6" t="str"/>
      <x:c r="H23" s="6" t="str"/>
      <x:c r="I23" s="6" t="str">
        <x:v>Operator</x:v>
      </x:c>
      <x:c r="J23" s="6" t="str">
        <x:v>Filling</x:v>
      </x:c>
    </x:row>
    <x:row r="24" ht="27" customHeight="1">
      <x:c r="A24" s="6" t="str">
        <x:v>STATUS_CONVEYOR_READY</x:v>
      </x:c>
      <x:c r="B24" s="6" t="str">
        <x:v>DB_Drives.Conveyor.Ready</x:v>
      </x:c>
      <x:c r="C24" s="6" t="str">
        <x:v>Read only</x:v>
      </x:c>
      <x:c r="D24" s="6" t="str">
        <x:v>No</x:v>
      </x:c>
      <x:c r="E24" s="6" t="str"/>
      <x:c r="F24" s="6" t="str"/>
      <x:c r="G24" s="6" t="str"/>
      <x:c r="H24" s="6" t="str"/>
      <x:c r="I24" s="6" t="str">
        <x:v>Operator</x:v>
      </x:c>
      <x:c r="J24" s="6" t="str">
        <x:v>Drives</x:v>
      </x:c>
    </x:row>
    <x:row r="25" ht="27" customHeight="1">
      <x:c r="A25" s="6" t="str">
        <x:v>STATUS_CONVEYOR_RUNNING</x:v>
      </x:c>
      <x:c r="B25" s="6" t="str">
        <x:v>DB_Drives.Conveyor.Running</x:v>
      </x:c>
      <x:c r="C25" s="6" t="str">
        <x:v>Read only</x:v>
      </x:c>
      <x:c r="D25" s="6" t="str">
        <x:v>No</x:v>
      </x:c>
      <x:c r="E25" s="6" t="str"/>
      <x:c r="F25" s="6" t="str"/>
      <x:c r="G25" s="6" t="str"/>
      <x:c r="H25" s="6" t="str"/>
      <x:c r="I25" s="6" t="str">
        <x:v>Operator</x:v>
      </x:c>
      <x:c r="J25" s="6" t="str">
        <x:v>Drives</x:v>
      </x:c>
    </x:row>
    <x:row r="26" ht="27" customHeight="1">
      <x:c r="A26" s="6" t="str">
        <x:v>STATUS_CONVEYOR_FAULT</x:v>
      </x:c>
      <x:c r="B26" s="6" t="str">
        <x:v>DB_Drives.Conveyor.Fault</x:v>
      </x:c>
      <x:c r="C26" s="6" t="str">
        <x:v>Read only</x:v>
      </x:c>
      <x:c r="D26" s="6" t="str">
        <x:v>No</x:v>
      </x:c>
      <x:c r="E26" s="6" t="str"/>
      <x:c r="F26" s="6" t="str"/>
      <x:c r="G26" s="6" t="str"/>
      <x:c r="H26" s="6" t="str"/>
      <x:c r="I26" s="6" t="str">
        <x:v>Operator</x:v>
      </x:c>
      <x:c r="J26" s="6" t="str">
        <x:v>Drives</x:v>
      </x:c>
    </x:row>
    <x:row r="27" ht="27" customHeight="1">
      <x:c r="A27" s="6" t="str">
        <x:v>STATUS_CONVEYOR_SPEED_PCT</x:v>
      </x:c>
      <x:c r="B27" s="6" t="str">
        <x:v>DB_Drives.Conveyor.ActualSpeedPct</x:v>
      </x:c>
      <x:c r="C27" s="6" t="str">
        <x:v>Read only</x:v>
      </x:c>
      <x:c r="D27" s="6" t="str">
        <x:v>No</x:v>
      </x:c>
      <x:c r="E27" s="6" t="str"/>
      <x:c r="F27" s="6" t="str"/>
      <x:c r="G27" s="6" t="str"/>
      <x:c r="H27" s="6" t="str"/>
      <x:c r="I27" s="6" t="str">
        <x:v>Operator</x:v>
      </x:c>
      <x:c r="J27" s="6" t="str">
        <x:v>Drives</x:v>
      </x:c>
    </x:row>
    <x:row r="28" ht="27" customHeight="1">
      <x:c r="A28" s="6" t="str">
        <x:v>STATUS_PUMP_READY</x:v>
      </x:c>
      <x:c r="B28" s="6" t="str">
        <x:v>DB_Drives.Pump.Ready</x:v>
      </x:c>
      <x:c r="C28" s="6" t="str">
        <x:v>Read only</x:v>
      </x:c>
      <x:c r="D28" s="6" t="str">
        <x:v>No</x:v>
      </x:c>
      <x:c r="E28" s="6" t="str"/>
      <x:c r="F28" s="6" t="str"/>
      <x:c r="G28" s="6" t="str"/>
      <x:c r="H28" s="6" t="str"/>
      <x:c r="I28" s="6" t="str">
        <x:v>Operator</x:v>
      </x:c>
      <x:c r="J28" s="6" t="str">
        <x:v>Drives</x:v>
      </x:c>
    </x:row>
    <x:row r="29" ht="27" customHeight="1">
      <x:c r="A29" s="6" t="str">
        <x:v>STATUS_PUMP_RUNNING</x:v>
      </x:c>
      <x:c r="B29" s="6" t="str">
        <x:v>DB_Drives.Pump.Running</x:v>
      </x:c>
      <x:c r="C29" s="6" t="str">
        <x:v>Read only</x:v>
      </x:c>
      <x:c r="D29" s="6" t="str">
        <x:v>No</x:v>
      </x:c>
      <x:c r="E29" s="6" t="str"/>
      <x:c r="F29" s="6" t="str"/>
      <x:c r="G29" s="6" t="str"/>
      <x:c r="H29" s="6" t="str"/>
      <x:c r="I29" s="6" t="str">
        <x:v>Operator</x:v>
      </x:c>
      <x:c r="J29" s="6" t="str">
        <x:v>Drives</x:v>
      </x:c>
    </x:row>
    <x:row r="30" ht="27" customHeight="1">
      <x:c r="A30" s="6" t="str">
        <x:v>STATUS_PUMP_FAULT</x:v>
      </x:c>
      <x:c r="B30" s="6" t="str">
        <x:v>DB_Drives.Pump.Fault</x:v>
      </x:c>
      <x:c r="C30" s="6" t="str">
        <x:v>Read only</x:v>
      </x:c>
      <x:c r="D30" s="6" t="str">
        <x:v>No</x:v>
      </x:c>
      <x:c r="E30" s="6" t="str"/>
      <x:c r="F30" s="6" t="str"/>
      <x:c r="G30" s="6" t="str"/>
      <x:c r="H30" s="6" t="str"/>
      <x:c r="I30" s="6" t="str">
        <x:v>Operator</x:v>
      </x:c>
      <x:c r="J30" s="6" t="str">
        <x:v>Drives</x:v>
      </x:c>
    </x:row>
    <x:row r="31" ht="27" customHeight="1">
      <x:c r="A31" s="6" t="str">
        <x:v>STATUS_PUMP_SPEED_PCT</x:v>
      </x:c>
      <x:c r="B31" s="6" t="str">
        <x:v>DB_Drives.Pump.ActualSpeedPct</x:v>
      </x:c>
      <x:c r="C31" s="6" t="str">
        <x:v>Read only</x:v>
      </x:c>
      <x:c r="D31" s="6" t="str">
        <x:v>No</x:v>
      </x:c>
      <x:c r="E31" s="6" t="str"/>
      <x:c r="F31" s="6" t="str"/>
      <x:c r="G31" s="6" t="str"/>
      <x:c r="H31" s="6" t="str"/>
      <x:c r="I31" s="6" t="str">
        <x:v>Operator</x:v>
      </x:c>
      <x:c r="J31" s="6" t="str">
        <x:v>Drives</x:v>
      </x:c>
    </x:row>
    <x:row r="32" ht="27" customHeight="1">
      <x:c r="A32" s="6" t="str">
        <x:v>STATUS_VISION_READY</x:v>
      </x:c>
      <x:c r="B32" s="6" t="str">
        <x:v>DB_VisionComms.Ready</x:v>
      </x:c>
      <x:c r="C32" s="6" t="str">
        <x:v>Read only</x:v>
      </x:c>
      <x:c r="D32" s="6" t="str">
        <x:v>No</x:v>
      </x:c>
      <x:c r="E32" s="6" t="str"/>
      <x:c r="F32" s="6" t="str"/>
      <x:c r="G32" s="6" t="str"/>
      <x:c r="H32" s="6" t="str"/>
      <x:c r="I32" s="6" t="str">
        <x:v>Operator</x:v>
      </x:c>
      <x:c r="J32" s="6" t="str">
        <x:v>Vision</x:v>
      </x:c>
    </x:row>
    <x:row r="33" ht="27" customHeight="1">
      <x:c r="A33" s="6" t="str">
        <x:v>STATUS_VISION_BUSY</x:v>
      </x:c>
      <x:c r="B33" s="6" t="str">
        <x:v>DB_VisionComms.Busy</x:v>
      </x:c>
      <x:c r="C33" s="6" t="str">
        <x:v>Read only</x:v>
      </x:c>
      <x:c r="D33" s="6" t="str">
        <x:v>No</x:v>
      </x:c>
      <x:c r="E33" s="6" t="str"/>
      <x:c r="F33" s="6" t="str"/>
      <x:c r="G33" s="6" t="str"/>
      <x:c r="H33" s="6" t="str"/>
      <x:c r="I33" s="6" t="str">
        <x:v>Operator</x:v>
      </x:c>
      <x:c r="J33" s="6" t="str">
        <x:v>Vision</x:v>
      </x:c>
    </x:row>
    <x:row r="34" ht="27" customHeight="1">
      <x:c r="A34" s="6" t="str">
        <x:v>STATUS_VISION_RESULT_ID</x:v>
      </x:c>
      <x:c r="B34" s="6" t="str">
        <x:v>DB_VisionComms.Result.ResultId</x:v>
      </x:c>
      <x:c r="C34" s="6" t="str">
        <x:v>Read only</x:v>
      </x:c>
      <x:c r="D34" s="6" t="str">
        <x:v>No</x:v>
      </x:c>
      <x:c r="E34" s="6" t="str"/>
      <x:c r="F34" s="6" t="str"/>
      <x:c r="G34" s="6" t="str"/>
      <x:c r="H34" s="6" t="str"/>
      <x:c r="I34" s="6" t="str">
        <x:v>Operator</x:v>
      </x:c>
      <x:c r="J34" s="6" t="str">
        <x:v>Vision</x:v>
      </x:c>
    </x:row>
    <x:row r="35" ht="27" customHeight="1">
      <x:c r="A35" s="6" t="str">
        <x:v>STATUS_VISION_LOW_CONFIDENCE</x:v>
      </x:c>
      <x:c r="B35" s="6" t="str">
        <x:v>DB_VisionComms.Result.LowConfidence</x:v>
      </x:c>
      <x:c r="C35" s="6" t="str">
        <x:v>Read only</x:v>
      </x:c>
      <x:c r="D35" s="6" t="str">
        <x:v>No</x:v>
      </x:c>
      <x:c r="E35" s="6" t="str"/>
      <x:c r="F35" s="6" t="str"/>
      <x:c r="G35" s="6" t="str"/>
      <x:c r="H35" s="6" t="str"/>
      <x:c r="I35" s="6" t="str">
        <x:v>Operator</x:v>
      </x:c>
      <x:c r="J35" s="6" t="str">
        <x:v>Vision</x:v>
      </x:c>
    </x:row>
    <x:row r="36" ht="27" customHeight="1">
      <x:c r="A36" s="6" t="str">
        <x:v>STATUS_VISION_FAULT</x:v>
      </x:c>
      <x:c r="B36" s="6" t="str">
        <x:v>DB_VisionComms.Result.Fault</x:v>
      </x:c>
      <x:c r="C36" s="6" t="str">
        <x:v>Read only</x:v>
      </x:c>
      <x:c r="D36" s="6" t="str">
        <x:v>No</x:v>
      </x:c>
      <x:c r="E36" s="6" t="str"/>
      <x:c r="F36" s="6" t="str"/>
      <x:c r="G36" s="6" t="str"/>
      <x:c r="H36" s="6" t="str"/>
      <x:c r="I36" s="6" t="str">
        <x:v>Operator</x:v>
      </x:c>
      <x:c r="J36" s="6" t="str">
        <x:v>Vision</x:v>
      </x:c>
    </x:row>
    <x:row r="37" ht="27" customHeight="1">
      <x:c r="A37" s="6" t="str">
        <x:v>STATUS_VISION_MODEL_ID</x:v>
      </x:c>
      <x:c r="B37" s="6" t="str">
        <x:v>DB_VisionComms.Result.ModelId</x:v>
      </x:c>
      <x:c r="C37" s="6" t="str">
        <x:v>Read only</x:v>
      </x:c>
      <x:c r="D37" s="6" t="str">
        <x:v>No</x:v>
      </x:c>
      <x:c r="E37" s="6" t="str"/>
      <x:c r="F37" s="6" t="str"/>
      <x:c r="G37" s="6" t="str"/>
      <x:c r="H37" s="6" t="str"/>
      <x:c r="I37" s="6" t="str">
        <x:v>Operator</x:v>
      </x:c>
      <x:c r="J37" s="6" t="str">
        <x:v>Vision</x:v>
      </x:c>
    </x:row>
    <x:row r="38" ht="27" customHeight="1">
      <x:c r="A38" s="6" t="str">
        <x:v>STATUS_CAPPER_READY</x:v>
      </x:c>
      <x:c r="B38" s="6" t="str">
        <x:v>DB_IO.Inputs.CapperReady</x:v>
      </x:c>
      <x:c r="C38" s="6" t="str">
        <x:v>Read only</x:v>
      </x:c>
      <x:c r="D38" s="6" t="str">
        <x:v>No</x:v>
      </x:c>
      <x:c r="E38" s="6" t="str"/>
      <x:c r="F38" s="6" t="str"/>
      <x:c r="G38" s="6" t="str"/>
      <x:c r="H38" s="6" t="str"/>
      <x:c r="I38" s="6" t="str">
        <x:v>Operator</x:v>
      </x:c>
      <x:c r="J38" s="6" t="str">
        <x:v>Diagnostics</x:v>
      </x:c>
    </x:row>
    <x:row r="39" ht="27" customHeight="1">
      <x:c r="A39" s="6" t="str">
        <x:v>STATUS_CAPPER_BUSY</x:v>
      </x:c>
      <x:c r="B39" s="6" t="str">
        <x:v>DB_IO.Inputs.CapperBusy</x:v>
      </x:c>
      <x:c r="C39" s="6" t="str">
        <x:v>Read only</x:v>
      </x:c>
      <x:c r="D39" s="6" t="str">
        <x:v>No</x:v>
      </x:c>
      <x:c r="E39" s="6" t="str"/>
      <x:c r="F39" s="6" t="str"/>
      <x:c r="G39" s="6" t="str"/>
      <x:c r="H39" s="6" t="str"/>
      <x:c r="I39" s="6" t="str">
        <x:v>Operator</x:v>
      </x:c>
      <x:c r="J39" s="6" t="str">
        <x:v>Diagnostics</x:v>
      </x:c>
    </x:row>
    <x:row r="40" ht="27" customHeight="1">
      <x:c r="A40" s="6" t="str">
        <x:v>STATUS_CAPPER_COMPLETE</x:v>
      </x:c>
      <x:c r="B40" s="6" t="str">
        <x:v>DB_IO.Inputs.CapperComplete</x:v>
      </x:c>
      <x:c r="C40" s="6" t="str">
        <x:v>Read only</x:v>
      </x:c>
      <x:c r="D40" s="6" t="str">
        <x:v>No</x:v>
      </x:c>
      <x:c r="E40" s="6" t="str"/>
      <x:c r="F40" s="6" t="str"/>
      <x:c r="G40" s="6" t="str"/>
      <x:c r="H40" s="6" t="str"/>
      <x:c r="I40" s="6" t="str">
        <x:v>Operator</x:v>
      </x:c>
      <x:c r="J40" s="6" t="str">
        <x:v>Diagnostics</x:v>
      </x:c>
    </x:row>
    <x:row r="41" ht="27" customHeight="1">
      <x:c r="A41" s="6" t="str">
        <x:v>STATUS_CAPPER_FAULT</x:v>
      </x:c>
      <x:c r="B41" s="6" t="str">
        <x:v>DB_IO.Inputs.CapperFault</x:v>
      </x:c>
      <x:c r="C41" s="6" t="str">
        <x:v>Read only</x:v>
      </x:c>
      <x:c r="D41" s="6" t="str">
        <x:v>No</x:v>
      </x:c>
      <x:c r="E41" s="6" t="str"/>
      <x:c r="F41" s="6" t="str"/>
      <x:c r="G41" s="6" t="str"/>
      <x:c r="H41" s="6" t="str"/>
      <x:c r="I41" s="6" t="str">
        <x:v>Operator</x:v>
      </x:c>
      <x:c r="J41" s="6" t="str">
        <x:v>Diagnostics</x:v>
      </x:c>
    </x:row>
    <x:row r="42" ht="27" customHeight="1">
      <x:c r="A42" s="6" t="str">
        <x:v>STATUS_HMI_COMMUNICATIONS_HEALTHY</x:v>
      </x:c>
      <x:c r="B42" s="6" t="str">
        <x:v>DB_HMI.CommunicationsHealthy</x:v>
      </x:c>
      <x:c r="C42" s="6" t="str">
        <x:v>Read only</x:v>
      </x:c>
      <x:c r="D42" s="6" t="str">
        <x:v>No</x:v>
      </x:c>
      <x:c r="E42" s="6" t="str"/>
      <x:c r="F42" s="6" t="str"/>
      <x:c r="G42" s="6" t="str"/>
      <x:c r="H42" s="6" t="str"/>
      <x:c r="I42" s="6" t="str">
        <x:v>Operator</x:v>
      </x:c>
      <x:c r="J42" s="6" t="str">
        <x:v>Diagnostics</x:v>
      </x:c>
    </x:row>
    <x:row r="43" ht="27" customHeight="1">
      <x:c r="A43" s="6" t="str">
        <x:v>CMD_START</x:v>
      </x:c>
      <x:c r="B43" s="6" t="str">
        <x:v>DB_HMI.Start.Request</x:v>
      </x:c>
      <x:c r="C43" s="6" t="str">
        <x:v>Write request only</x:v>
      </x:c>
      <x:c r="D43" s="6" t="str">
        <x:v>Yes</x:v>
      </x:c>
      <x:c r="E43" s="6" t="str">
        <x:v>DB_HMI.Start.RequestSeq</x:v>
      </x:c>
      <x:c r="F43" s="6" t="str">
        <x:v>DB_HMI.Start.AcceptedSeq</x:v>
      </x:c>
      <x:c r="G43" s="6" t="str">
        <x:v>DB_HMI.Start.RejectedSeq</x:v>
      </x:c>
      <x:c r="H43" s="6" t="str">
        <x:v>DB_HMI.Start.DisabledReason</x:v>
      </x:c>
      <x:c r="I43" s="6" t="str">
        <x:v>Operator</x:v>
      </x:c>
      <x:c r="J43" s="6" t="str">
        <x:v>Overview</x:v>
      </x:c>
    </x:row>
    <x:row r="44" ht="27" customHeight="1">
      <x:c r="A44" s="6" t="str">
        <x:v>CMD_CONTROLLED_STOP</x:v>
      </x:c>
      <x:c r="B44" s="6" t="str">
        <x:v>DB_HMI.ControlledStop.Request</x:v>
      </x:c>
      <x:c r="C44" s="6" t="str">
        <x:v>Write request only</x:v>
      </x:c>
      <x:c r="D44" s="6" t="str">
        <x:v>Yes</x:v>
      </x:c>
      <x:c r="E44" s="6" t="str">
        <x:v>DB_HMI.ControlledStop.RequestSeq</x:v>
      </x:c>
      <x:c r="F44" s="6" t="str">
        <x:v>DB_HMI.ControlledStop.AcceptedSeq</x:v>
      </x:c>
      <x:c r="G44" s="6" t="str">
        <x:v>DB_HMI.ControlledStop.RejectedSeq</x:v>
      </x:c>
      <x:c r="H44" s="6" t="str">
        <x:v>DB_HMI.ControlledStop.DisabledReason</x:v>
      </x:c>
      <x:c r="I44" s="6" t="str">
        <x:v>Operator</x:v>
      </x:c>
      <x:c r="J44" s="6" t="str">
        <x:v>Overview</x:v>
      </x:c>
    </x:row>
    <x:row r="45" ht="27" customHeight="1">
      <x:c r="A45" s="6" t="str">
        <x:v>CMD_RESET</x:v>
      </x:c>
      <x:c r="B45" s="6" t="str">
        <x:v>DB_HMI.Reset.Request</x:v>
      </x:c>
      <x:c r="C45" s="6" t="str">
        <x:v>Write request only</x:v>
      </x:c>
      <x:c r="D45" s="6" t="str">
        <x:v>Yes</x:v>
      </x:c>
      <x:c r="E45" s="6" t="str">
        <x:v>DB_HMI.Reset.RequestSeq</x:v>
      </x:c>
      <x:c r="F45" s="6" t="str">
        <x:v>DB_HMI.Reset.AcceptedSeq</x:v>
      </x:c>
      <x:c r="G45" s="6" t="str">
        <x:v>DB_HMI.Reset.RejectedSeq</x:v>
      </x:c>
      <x:c r="H45" s="6" t="str">
        <x:v>DB_HMI.Reset.DisabledReason</x:v>
      </x:c>
      <x:c r="I45" s="6" t="str">
        <x:v>Operator</x:v>
      </x:c>
      <x:c r="J45" s="6" t="str">
        <x:v>Overview</x:v>
      </x:c>
    </x:row>
    <x:row r="46" ht="27" customHeight="1">
      <x:c r="A46" s="6" t="str">
        <x:v>CMD_ALARM_ACK</x:v>
      </x:c>
      <x:c r="B46" s="6" t="str">
        <x:v>DB_HMI.AlarmAck.Request</x:v>
      </x:c>
      <x:c r="C46" s="6" t="str">
        <x:v>Write request only</x:v>
      </x:c>
      <x:c r="D46" s="6" t="str">
        <x:v>Yes</x:v>
      </x:c>
      <x:c r="E46" s="6" t="str">
        <x:v>DB_HMI.AlarmAck.RequestSeq</x:v>
      </x:c>
      <x:c r="F46" s="6" t="str">
        <x:v>DB_HMI.AlarmAck.AcceptedSeq</x:v>
      </x:c>
      <x:c r="G46" s="6" t="str">
        <x:v>DB_HMI.AlarmAck.RejectedSeq</x:v>
      </x:c>
      <x:c r="H46" s="6" t="str">
        <x:v>DB_HMI.AlarmAck.DisabledReason</x:v>
      </x:c>
      <x:c r="I46" s="6" t="str">
        <x:v>Operator</x:v>
      </x:c>
      <x:c r="J46" s="6" t="str">
        <x:v>Alarms</x:v>
      </x:c>
    </x:row>
    <x:row r="47" ht="27" customHeight="1">
      <x:c r="A47" s="6" t="str">
        <x:v>CMD_AUTO_MODE</x:v>
      </x:c>
      <x:c r="B47" s="6" t="str">
        <x:v>DB_HMI.AutoMode.Request</x:v>
      </x:c>
      <x:c r="C47" s="6" t="str">
        <x:v>Write request only</x:v>
      </x:c>
      <x:c r="D47" s="6" t="str">
        <x:v>Yes</x:v>
      </x:c>
      <x:c r="E47" s="6" t="str">
        <x:v>DB_HMI.AutoMode.RequestSeq</x:v>
      </x:c>
      <x:c r="F47" s="6" t="str">
        <x:v>DB_HMI.AutoMode.AcceptedSeq</x:v>
      </x:c>
      <x:c r="G47" s="6" t="str">
        <x:v>DB_HMI.AutoMode.RejectedSeq</x:v>
      </x:c>
      <x:c r="H47" s="6" t="str">
        <x:v>DB_HMI.AutoMode.DisabledReason</x:v>
      </x:c>
      <x:c r="I47" s="6" t="str">
        <x:v>Operator</x:v>
      </x:c>
      <x:c r="J47" s="6" t="str">
        <x:v>Overview</x:v>
      </x:c>
    </x:row>
    <x:row r="48" ht="27" customHeight="1">
      <x:c r="A48" s="6" t="str">
        <x:v>CMD_MANUAL_MODE</x:v>
      </x:c>
      <x:c r="B48" s="6" t="str">
        <x:v>DB_HMI.ManualMode.Request</x:v>
      </x:c>
      <x:c r="C48" s="6" t="str">
        <x:v>Write request only</x:v>
      </x:c>
      <x:c r="D48" s="6" t="str">
        <x:v>Yes</x:v>
      </x:c>
      <x:c r="E48" s="6" t="str">
        <x:v>DB_HMI.ManualMode.RequestSeq</x:v>
      </x:c>
      <x:c r="F48" s="6" t="str">
        <x:v>DB_HMI.ManualMode.AcceptedSeq</x:v>
      </x:c>
      <x:c r="G48" s="6" t="str">
        <x:v>DB_HMI.ManualMode.RejectedSeq</x:v>
      </x:c>
      <x:c r="H48" s="6" t="str">
        <x:v>DB_HMI.ManualMode.DisabledReason</x:v>
      </x:c>
      <x:c r="I48" s="6" t="str">
        <x:v>Maintenance</x:v>
      </x:c>
      <x:c r="J48" s="6" t="str">
        <x:v>Manual</x:v>
      </x:c>
    </x:row>
    <x:row r="49" ht="27" customHeight="1">
      <x:c r="A49" s="6" t="str">
        <x:v>CMD_DISPOSITION_REMOVED</x:v>
      </x:c>
      <x:c r="B49" s="6" t="str">
        <x:v>DB_HMI.DispositionRemoved.Request</x:v>
      </x:c>
      <x:c r="C49" s="6" t="str">
        <x:v>Write request only</x:v>
      </x:c>
      <x:c r="D49" s="6" t="str">
        <x:v>Yes</x:v>
      </x:c>
      <x:c r="E49" s="6" t="str">
        <x:v>DB_HMI.DispositionRemoved.RequestSeq</x:v>
      </x:c>
      <x:c r="F49" s="6" t="str">
        <x:v>DB_HMI.DispositionRemoved.AcceptedSeq</x:v>
      </x:c>
      <x:c r="G49" s="6" t="str">
        <x:v>DB_HMI.DispositionRemoved.RejectedSeq</x:v>
      </x:c>
      <x:c r="H49" s="6" t="str">
        <x:v>DB_HMI.DispositionRemoved.DisabledReason</x:v>
      </x:c>
      <x:c r="I49" s="6" t="str">
        <x:v>Supervisor</x:v>
      </x:c>
      <x:c r="J49" s="6" t="str">
        <x:v>Holding</x:v>
      </x:c>
    </x:row>
    <x:row r="50" ht="27" customHeight="1">
      <x:c r="A50" s="6" t="str">
        <x:v>CMD_RECIPE_APPLY</x:v>
      </x:c>
      <x:c r="B50" s="6" t="str">
        <x:v>DB_HMI.RecipeApply.Request</x:v>
      </x:c>
      <x:c r="C50" s="6" t="str">
        <x:v>Write request only</x:v>
      </x:c>
      <x:c r="D50" s="6" t="str">
        <x:v>Yes</x:v>
      </x:c>
      <x:c r="E50" s="6" t="str">
        <x:v>DB_HMI.RecipeApply.RequestSeq</x:v>
      </x:c>
      <x:c r="F50" s="6" t="str">
        <x:v>DB_HMI.RecipeApply.AcceptedSeq</x:v>
      </x:c>
      <x:c r="G50" s="6" t="str">
        <x:v>DB_HMI.RecipeApply.RejectedSeq</x:v>
      </x:c>
      <x:c r="H50" s="6" t="str">
        <x:v>DB_HMI.RecipeApply.DisabledReason</x:v>
      </x:c>
      <x:c r="I50" s="6" t="str">
        <x:v>Supervisor</x:v>
      </x:c>
      <x:c r="J50" s="6" t="str">
        <x:v>Recipes</x:v>
      </x:c>
    </x:row>
    <x:row r="51" ht="27" customHeight="1">
      <x:c r="A51" s="6" t="str">
        <x:v>HOLD_MANUALCONVEYORJOG</x:v>
      </x:c>
      <x:c r="B51" s="6" t="str">
        <x:v>DB_HMI.ManualConveyorJog.Request</x:v>
      </x:c>
      <x:c r="C51" s="6" t="str">
        <x:v>Write while pressed; PLC heartbeat supervised</x:v>
      </x:c>
      <x:c r="D51" s="6" t="str">
        <x:v>Yes - hold to run</x:v>
      </x:c>
      <x:c r="E51" s="6" t="str"/>
      <x:c r="F51" s="6" t="str"/>
      <x:c r="G51" s="6" t="str"/>
      <x:c r="H51" s="6" t="str">
        <x:v>DB_HMI.ManualConveyorJog.DisabledReason</x:v>
      </x:c>
      <x:c r="I51" s="6" t="str">
        <x:v>Maintenance</x:v>
      </x:c>
      <x:c r="J51" s="6" t="str">
        <x:v>Manual</x:v>
      </x:c>
    </x:row>
    <x:row r="52" ht="27" customHeight="1">
      <x:c r="A52" s="6" t="str">
        <x:v>HOLD_MANUALPUMPJOG</x:v>
      </x:c>
      <x:c r="B52" s="6" t="str">
        <x:v>DB_HMI.ManualPumpJog.Request</x:v>
      </x:c>
      <x:c r="C52" s="6" t="str">
        <x:v>Write while pressed; PLC heartbeat supervised</x:v>
      </x:c>
      <x:c r="D52" s="6" t="str">
        <x:v>Yes - hold to run</x:v>
      </x:c>
      <x:c r="E52" s="6" t="str"/>
      <x:c r="F52" s="6" t="str"/>
      <x:c r="G52" s="6" t="str"/>
      <x:c r="H52" s="6" t="str">
        <x:v>DB_HMI.ManualPumpJog.DisabledReason</x:v>
      </x:c>
      <x:c r="I52" s="6" t="str">
        <x:v>Maintenance</x:v>
      </x:c>
      <x:c r="J52" s="6" t="str">
        <x:v>Manual</x:v>
      </x:c>
    </x:row>
    <x:row r="53" ht="27" customHeight="1">
      <x:c r="A53" s="6" t="str">
        <x:v>HOLD_MANUALVALVE1</x:v>
      </x:c>
      <x:c r="B53" s="6" t="str">
        <x:v>DB_HMI.ManualValve1.Request</x:v>
      </x:c>
      <x:c r="C53" s="6" t="str">
        <x:v>Write while pressed; PLC heartbeat supervised</x:v>
      </x:c>
      <x:c r="D53" s="6" t="str">
        <x:v>Yes - hold to run</x:v>
      </x:c>
      <x:c r="E53" s="6" t="str"/>
      <x:c r="F53" s="6" t="str"/>
      <x:c r="G53" s="6" t="str"/>
      <x:c r="H53" s="6" t="str">
        <x:v>DB_HMI.ManualValve1.DisabledReason</x:v>
      </x:c>
      <x:c r="I53" s="6" t="str">
        <x:v>Maintenance</x:v>
      </x:c>
      <x:c r="J53" s="6" t="str">
        <x:v>Manual</x:v>
      </x:c>
    </x:row>
    <x:row r="54" ht="27" customHeight="1">
      <x:c r="A54" s="6" t="str">
        <x:v>HOLD_MANUALVALVE2</x:v>
      </x:c>
      <x:c r="B54" s="6" t="str">
        <x:v>DB_HMI.ManualValve2.Request</x:v>
      </x:c>
      <x:c r="C54" s="6" t="str">
        <x:v>Write while pressed; PLC heartbeat supervised</x:v>
      </x:c>
      <x:c r="D54" s="6" t="str">
        <x:v>Yes - hold to run</x:v>
      </x:c>
      <x:c r="E54" s="6" t="str"/>
      <x:c r="F54" s="6" t="str"/>
      <x:c r="G54" s="6" t="str"/>
      <x:c r="H54" s="6" t="str">
        <x:v>DB_HMI.ManualValve2.DisabledReason</x:v>
      </x:c>
      <x:c r="I54" s="6" t="str">
        <x:v>Maintenance</x:v>
      </x:c>
      <x:c r="J54" s="6" t="str">
        <x:v>Manual</x:v>
      </x:c>
    </x:row>
    <x:row r="55" ht="27" customHeight="1">
      <x:c r="A55" s="6" t="str">
        <x:v>HOLD_MANUALSECURE</x:v>
      </x:c>
      <x:c r="B55" s="6" t="str">
        <x:v>DB_HMI.ManualSecure.Request</x:v>
      </x:c>
      <x:c r="C55" s="6" t="str">
        <x:v>Write while pressed; PLC heartbeat supervised</x:v>
      </x:c>
      <x:c r="D55" s="6" t="str">
        <x:v>Yes - hold to run</x:v>
      </x:c>
      <x:c r="E55" s="6" t="str"/>
      <x:c r="F55" s="6" t="str"/>
      <x:c r="G55" s="6" t="str"/>
      <x:c r="H55" s="6" t="str">
        <x:v>DB_HMI.ManualSecure.DisabledReason</x:v>
      </x:c>
      <x:c r="I55" s="6" t="str">
        <x:v>Maintenance</x:v>
      </x:c>
      <x:c r="J55" s="6" t="str">
        <x:v>Manual</x:v>
      </x:c>
    </x:row>
    <x:row r="56" ht="27" customHeight="1">
      <x:c r="A56" s="6" t="str">
        <x:v>RECIPE_CANDIDATE_RECIPEID</x:v>
      </x:c>
      <x:c r="B56" s="6" t="str">
        <x:v>DB_Recipe.Candidate.RecipeId</x:v>
      </x:c>
      <x:c r="C56" s="6" t="str">
        <x:v>Supervisor write; committed only by sequenced RecipeApply</x:v>
      </x:c>
      <x:c r="D56" s="6" t="str">
        <x:v>No</x:v>
      </x:c>
      <x:c r="E56" s="6" t="str"/>
      <x:c r="F56" s="6" t="str"/>
      <x:c r="G56" s="6" t="str"/>
      <x:c r="H56" s="6" t="str">
        <x:v>DB_HMI.RecipeApply.DisabledReason</x:v>
      </x:c>
      <x:c r="I56" s="6" t="str">
        <x:v>Supervisor</x:v>
      </x:c>
      <x:c r="J56" s="6" t="str">
        <x:v>Recipes</x:v>
      </x:c>
    </x:row>
    <x:row r="57" ht="27" customHeight="1">
      <x:c r="A57" s="6" t="str">
        <x:v>RECIPE_CANDIDATE_TARGETMLCH1</x:v>
      </x:c>
      <x:c r="B57" s="6" t="str">
        <x:v>DB_Recipe.Candidate.TargetMlCh1</x:v>
      </x:c>
      <x:c r="C57" s="6" t="str">
        <x:v>Supervisor write; committed only by sequenced RecipeApply</x:v>
      </x:c>
      <x:c r="D57" s="6" t="str">
        <x:v>No</x:v>
      </x:c>
      <x:c r="E57" s="6" t="str"/>
      <x:c r="F57" s="6" t="str"/>
      <x:c r="G57" s="6" t="str"/>
      <x:c r="H57" s="6" t="str">
        <x:v>DB_HMI.RecipeApply.DisabledReason</x:v>
      </x:c>
      <x:c r="I57" s="6" t="str">
        <x:v>Supervisor</x:v>
      </x:c>
      <x:c r="J57" s="6" t="str">
        <x:v>Recipes</x:v>
      </x:c>
    </x:row>
    <x:row r="58" ht="27" customHeight="1">
      <x:c r="A58" s="6" t="str">
        <x:v>RECIPE_CANDIDATE_TARGETMLCH2</x:v>
      </x:c>
      <x:c r="B58" s="6" t="str">
        <x:v>DB_Recipe.Candidate.TargetMlCh2</x:v>
      </x:c>
      <x:c r="C58" s="6" t="str">
        <x:v>Supervisor write; committed only by sequenced RecipeApply</x:v>
      </x:c>
      <x:c r="D58" s="6" t="str">
        <x:v>No</x:v>
      </x:c>
      <x:c r="E58" s="6" t="str"/>
      <x:c r="F58" s="6" t="str"/>
      <x:c r="G58" s="6" t="str"/>
      <x:c r="H58" s="6" t="str">
        <x:v>DB_HMI.RecipeApply.DisabledReason</x:v>
      </x:c>
      <x:c r="I58" s="6" t="str">
        <x:v>Supervisor</x:v>
      </x:c>
      <x:c r="J58" s="6" t="str">
        <x:v>Recipes</x:v>
      </x:c>
    </x:row>
    <x:row r="59" ht="27" customHeight="1">
      <x:c r="A59" s="6" t="str">
        <x:v>RECIPE_CANDIDATE_PULSESPERLITRECH1</x:v>
      </x:c>
      <x:c r="B59" s="6" t="str">
        <x:v>DB_Recipe.Candidate.PulsesPerLitreCh1</x:v>
      </x:c>
      <x:c r="C59" s="6" t="str">
        <x:v>Supervisor write; committed only by sequenced RecipeApply</x:v>
      </x:c>
      <x:c r="D59" s="6" t="str">
        <x:v>No</x:v>
      </x:c>
      <x:c r="E59" s="6" t="str"/>
      <x:c r="F59" s="6" t="str"/>
      <x:c r="G59" s="6" t="str"/>
      <x:c r="H59" s="6" t="str">
        <x:v>DB_HMI.RecipeApply.DisabledReason</x:v>
      </x:c>
      <x:c r="I59" s="6" t="str">
        <x:v>Supervisor</x:v>
      </x:c>
      <x:c r="J59" s="6" t="str">
        <x:v>Recipes</x:v>
      </x:c>
    </x:row>
    <x:row r="60" ht="27" customHeight="1">
      <x:c r="A60" s="6" t="str">
        <x:v>RECIPE_CANDIDATE_PULSESPERLITRECH2</x:v>
      </x:c>
      <x:c r="B60" s="6" t="str">
        <x:v>DB_Recipe.Candidate.PulsesPerLitreCh2</x:v>
      </x:c>
      <x:c r="C60" s="6" t="str">
        <x:v>Supervisor write; committed only by sequenced RecipeApply</x:v>
      </x:c>
      <x:c r="D60" s="6" t="str">
        <x:v>No</x:v>
      </x:c>
      <x:c r="E60" s="6" t="str"/>
      <x:c r="F60" s="6" t="str"/>
      <x:c r="G60" s="6" t="str"/>
      <x:c r="H60" s="6" t="str">
        <x:v>DB_HMI.RecipeApply.DisabledReason</x:v>
      </x:c>
      <x:c r="I60" s="6" t="str">
        <x:v>Supervisor</x:v>
      </x:c>
      <x:c r="J60" s="6" t="str">
        <x:v>Recipes</x:v>
      </x:c>
    </x:row>
    <x:row r="61" ht="27" customHeight="1">
      <x:c r="A61" s="6" t="str">
        <x:v>RECIPE_CANDIDATE_UNDERTOLERANCEML</x:v>
      </x:c>
      <x:c r="B61" s="6" t="str">
        <x:v>DB_Recipe.Candidate.UnderToleranceMl</x:v>
      </x:c>
      <x:c r="C61" s="6" t="str">
        <x:v>Supervisor write; committed only by sequenced RecipeApply</x:v>
      </x:c>
      <x:c r="D61" s="6" t="str">
        <x:v>No</x:v>
      </x:c>
      <x:c r="E61" s="6" t="str"/>
      <x:c r="F61" s="6" t="str"/>
      <x:c r="G61" s="6" t="str"/>
      <x:c r="H61" s="6" t="str">
        <x:v>DB_HMI.RecipeApply.DisabledReason</x:v>
      </x:c>
      <x:c r="I61" s="6" t="str">
        <x:v>Supervisor</x:v>
      </x:c>
      <x:c r="J61" s="6" t="str">
        <x:v>Recipes</x:v>
      </x:c>
    </x:row>
    <x:row r="62" ht="27" customHeight="1">
      <x:c r="A62" s="6" t="str">
        <x:v>RECIPE_CANDIDATE_OVERTOLERANCEML</x:v>
      </x:c>
      <x:c r="B62" s="6" t="str">
        <x:v>DB_Recipe.Candidate.OverToleranceMl</x:v>
      </x:c>
      <x:c r="C62" s="6" t="str">
        <x:v>Supervisor write; committed only by sequenced RecipeApply</x:v>
      </x:c>
      <x:c r="D62" s="6" t="str">
        <x:v>No</x:v>
      </x:c>
      <x:c r="E62" s="6" t="str"/>
      <x:c r="F62" s="6" t="str"/>
      <x:c r="G62" s="6" t="str"/>
      <x:c r="H62" s="6" t="str">
        <x:v>DB_HMI.RecipeApply.DisabledReason</x:v>
      </x:c>
      <x:c r="I62" s="6" t="str">
        <x:v>Supervisor</x:v>
      </x:c>
      <x:c r="J62" s="6" t="str">
        <x:v>Recipes</x:v>
      </x:c>
    </x:row>
    <x:row r="63" ht="27" customHeight="1">
      <x:c r="A63" s="6" t="str">
        <x:v>RECIPE_CANDIDATE_NOFLOWTIMEOUT</x:v>
      </x:c>
      <x:c r="B63" s="6" t="str">
        <x:v>DB_Recipe.Candidate.NoFlowTimeout</x:v>
      </x:c>
      <x:c r="C63" s="6" t="str">
        <x:v>Supervisor write; committed only by sequenced RecipeApply</x:v>
      </x:c>
      <x:c r="D63" s="6" t="str">
        <x:v>No</x:v>
      </x:c>
      <x:c r="E63" s="6" t="str"/>
      <x:c r="F63" s="6" t="str"/>
      <x:c r="G63" s="6" t="str"/>
      <x:c r="H63" s="6" t="str">
        <x:v>DB_HMI.RecipeApply.DisabledReason</x:v>
      </x:c>
      <x:c r="I63" s="6" t="str">
        <x:v>Supervisor</x:v>
      </x:c>
      <x:c r="J63" s="6" t="str">
        <x:v>Recipes</x:v>
      </x:c>
    </x:row>
    <x:row r="64" ht="27" customHeight="1">
      <x:c r="A64" s="6" t="str">
        <x:v>RECIPE_CANDIDATE_FILLTIMEOUT</x:v>
      </x:c>
      <x:c r="B64" s="6" t="str">
        <x:v>DB_Recipe.Candidate.FillTimeout</x:v>
      </x:c>
      <x:c r="C64" s="6" t="str">
        <x:v>Supervisor write; committed only by sequenced RecipeApply</x:v>
      </x:c>
      <x:c r="D64" s="6" t="str">
        <x:v>No</x:v>
      </x:c>
      <x:c r="E64" s="6" t="str"/>
      <x:c r="F64" s="6" t="str"/>
      <x:c r="G64" s="6" t="str"/>
      <x:c r="H64" s="6" t="str">
        <x:v>DB_HMI.RecipeApply.DisabledReason</x:v>
      </x:c>
      <x:c r="I64" s="6" t="str">
        <x:v>Supervisor</x:v>
      </x:c>
      <x:c r="J64" s="6" t="str">
        <x:v>Recipes</x:v>
      </x:c>
    </x:row>
    <x:row r="65" ht="27" customHeight="1">
      <x:c r="A65" s="6" t="str">
        <x:v>RECIPE_CANDIDATE_VALVEOPENTIMEOUT</x:v>
      </x:c>
      <x:c r="B65" s="6" t="str">
        <x:v>DB_Recipe.Candidate.ValveOpenTimeout</x:v>
      </x:c>
      <x:c r="C65" s="6" t="str">
        <x:v>Supervisor write; committed only by sequenced RecipeApply</x:v>
      </x:c>
      <x:c r="D65" s="6" t="str">
        <x:v>No</x:v>
      </x:c>
      <x:c r="E65" s="6" t="str"/>
      <x:c r="F65" s="6" t="str"/>
      <x:c r="G65" s="6" t="str"/>
      <x:c r="H65" s="6" t="str">
        <x:v>DB_HMI.RecipeApply.DisabledReason</x:v>
      </x:c>
      <x:c r="I65" s="6" t="str">
        <x:v>Supervisor</x:v>
      </x:c>
      <x:c r="J65" s="6" t="str">
        <x:v>Recipes</x:v>
      </x:c>
    </x:row>
    <x:row r="66" ht="27" customHeight="1">
      <x:c r="A66" s="6" t="str">
        <x:v>RECIPE_CANDIDATE_VALVECLOSETIMEOUT</x:v>
      </x:c>
      <x:c r="B66" s="6" t="str">
        <x:v>DB_Recipe.Candidate.ValveCloseTimeout</x:v>
      </x:c>
      <x:c r="C66" s="6" t="str">
        <x:v>Supervisor write; committed only by sequenced RecipeApply</x:v>
      </x:c>
      <x:c r="D66" s="6" t="str">
        <x:v>No</x:v>
      </x:c>
      <x:c r="E66" s="6" t="str"/>
      <x:c r="F66" s="6" t="str"/>
      <x:c r="G66" s="6" t="str"/>
      <x:c r="H66" s="6" t="str">
        <x:v>DB_HMI.RecipeApply.DisabledReason</x:v>
      </x:c>
      <x:c r="I66" s="6" t="str">
        <x:v>Supervisor</x:v>
      </x:c>
      <x:c r="J66" s="6" t="str">
        <x:v>Recipes</x:v>
      </x:c>
    </x:row>
    <x:row r="67" ht="27" customHeight="1">
      <x:c r="A67" s="6" t="str">
        <x:v>RECIPE_CANDIDATE_PLAUSIBILITYTIME</x:v>
      </x:c>
      <x:c r="B67" s="6" t="str">
        <x:v>DB_Recipe.Candidate.PlausibilityTime</x:v>
      </x:c>
      <x:c r="C67" s="6" t="str">
        <x:v>Supervisor write; committed only by sequenced RecipeApply</x:v>
      </x:c>
      <x:c r="D67" s="6" t="str">
        <x:v>No</x:v>
      </x:c>
      <x:c r="E67" s="6" t="str"/>
      <x:c r="F67" s="6" t="str"/>
      <x:c r="G67" s="6" t="str"/>
      <x:c r="H67" s="6" t="str">
        <x:v>DB_HMI.RecipeApply.DisabledReason</x:v>
      </x:c>
      <x:c r="I67" s="6" t="str">
        <x:v>Supervisor</x:v>
      </x:c>
      <x:c r="J67" s="6" t="str">
        <x:v>Recipes</x:v>
      </x:c>
    </x:row>
    <x:row r="68" ht="27" customHeight="1">
      <x:c r="A68" s="6" t="str">
        <x:v>RECIPE_CANDIDATE_PULSEWINDOWTIMES</x:v>
      </x:c>
      <x:c r="B68" s="6" t="str">
        <x:v>DB_Recipe.Candidate.PulseWindowTimeS</x:v>
      </x:c>
      <x:c r="C68" s="6" t="str">
        <x:v>Supervisor write; committed only by sequenced RecipeApply</x:v>
      </x:c>
      <x:c r="D68" s="6" t="str">
        <x:v>No</x:v>
      </x:c>
      <x:c r="E68" s="6" t="str"/>
      <x:c r="F68" s="6" t="str"/>
      <x:c r="G68" s="6" t="str"/>
      <x:c r="H68" s="6" t="str">
        <x:v>DB_HMI.RecipeApply.DisabledReason</x:v>
      </x:c>
      <x:c r="I68" s="6" t="str">
        <x:v>Supervisor</x:v>
      </x:c>
      <x:c r="J68" s="6" t="str">
        <x:v>Recipes</x:v>
      </x:c>
    </x:row>
    <x:row r="69" ht="27" customHeight="1">
      <x:c r="A69" s="6" t="str">
        <x:v>RECIPE_CANDIDATE_DRIPSETTLETIME</x:v>
      </x:c>
      <x:c r="B69" s="6" t="str">
        <x:v>DB_Recipe.Candidate.DripSettleTime</x:v>
      </x:c>
      <x:c r="C69" s="6" t="str">
        <x:v>Supervisor write; committed only by sequenced RecipeApply</x:v>
      </x:c>
      <x:c r="D69" s="6" t="str">
        <x:v>No</x:v>
      </x:c>
      <x:c r="E69" s="6" t="str"/>
      <x:c r="F69" s="6" t="str"/>
      <x:c r="G69" s="6" t="str"/>
      <x:c r="H69" s="6" t="str">
        <x:v>DB_HMI.RecipeApply.DisabledReason</x:v>
      </x:c>
      <x:c r="I69" s="6" t="str">
        <x:v>Supervisor</x:v>
      </x:c>
      <x:c r="J69" s="6" t="str">
        <x:v>Recipes</x:v>
      </x:c>
    </x:row>
    <x:row r="70" ht="27" customHeight="1">
      <x:c r="A70" s="6" t="str">
        <x:v>RECIPE_CANDIDATE_VISIONTIMEOUT</x:v>
      </x:c>
      <x:c r="B70" s="6" t="str">
        <x:v>DB_Recipe.Candidate.VisionTimeout</x:v>
      </x:c>
      <x:c r="C70" s="6" t="str">
        <x:v>Supervisor write; committed only by sequenced RecipeApply</x:v>
      </x:c>
      <x:c r="D70" s="6" t="str">
        <x:v>No</x:v>
      </x:c>
      <x:c r="E70" s="6" t="str"/>
      <x:c r="F70" s="6" t="str"/>
      <x:c r="G70" s="6" t="str"/>
      <x:c r="H70" s="6" t="str">
        <x:v>DB_HMI.RecipeApply.DisabledReason</x:v>
      </x:c>
      <x:c r="I70" s="6" t="str">
        <x:v>Supervisor</x:v>
      </x:c>
      <x:c r="J70" s="6" t="str">
        <x:v>Recipes</x:v>
      </x:c>
    </x:row>
    <x:row r="71" ht="27" customHeight="1">
      <x:c r="A71" s="6" t="str">
        <x:v>RECIPE_CANDIDATE_TARGETFILLLEVEL</x:v>
      </x:c>
      <x:c r="B71" s="6" t="str">
        <x:v>DB_Recipe.Candidate.TargetFillLevel</x:v>
      </x:c>
      <x:c r="C71" s="6" t="str">
        <x:v>Supervisor write; committed only by sequenced RecipeApply</x:v>
      </x:c>
      <x:c r="D71" s="6" t="str">
        <x:v>No</x:v>
      </x:c>
      <x:c r="E71" s="6" t="str"/>
      <x:c r="F71" s="6" t="str"/>
      <x:c r="G71" s="6" t="str"/>
      <x:c r="H71" s="6" t="str">
        <x:v>DB_HMI.RecipeApply.DisabledReason</x:v>
      </x:c>
      <x:c r="I71" s="6" t="str">
        <x:v>Supervisor</x:v>
      </x:c>
      <x:c r="J71" s="6" t="str">
        <x:v>Recipes</x:v>
      </x:c>
    </x:row>
    <x:row r="72" ht="27" customHeight="1">
      <x:c r="A72" s="6" t="str">
        <x:v>HMI_COMMAND_HEARTBEAT</x:v>
      </x:c>
      <x:c r="B72" s="6" t="str">
        <x:v>DB_HMI.CommandHeartbeat</x:v>
      </x:c>
      <x:c r="C72" s="6" t="str">
        <x:v>Write heartbeat counter only</x:v>
      </x:c>
      <x:c r="D72" s="6" t="str">
        <x:v>No</x:v>
      </x:c>
      <x:c r="E72" s="6" t="str"/>
      <x:c r="F72" s="6" t="str"/>
      <x:c r="G72" s="6" t="str"/>
      <x:c r="H72" s="6" t="str"/>
      <x:c r="I72" s="6" t="str">
        <x:v>System</x:v>
      </x:c>
      <x:c r="J72" s="6" t="str">
        <x:v>System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9.3799991607666" hidden="0" customWidth="1"/>
    <x:col min="3" max="3" width="19.3799991607666" hidden="0" customWidth="1"/>
    <x:col min="4" max="4" width="33.75" hidden="0" customWidth="1"/>
    <x:col min="5" max="5" width="19.3799991607666" hidden="0" customWidth="1"/>
    <x:col min="6" max="6" width="19.3799991607666" hidden="0" customWidth="1"/>
  </x:cols>
  <x:sheetData>
    <x:row r="1" ht="31.5" customHeight="1">
      <x:c r="A1" s="12" t="str">
        <x:v>alarm_id</x:v>
      </x:c>
      <x:c r="B1" s="12" t="str">
        <x:v>message</x:v>
      </x:c>
      <x:c r="C1" s="12" t="str">
        <x:v>class</x:v>
      </x:c>
      <x:c r="D1" s="12" t="str">
        <x:v>response</x:v>
      </x:c>
      <x:c r="E1" s="12" t="str">
        <x:v>ack_required</x:v>
      </x:c>
      <x:c r="F1" s="12" t="str">
        <x:v>reset_condition</x:v>
      </x:c>
    </x:row>
    <x:row r="2" ht="54" customHeight="1">
      <x:c r="A2" s="6" t="str">
        <x:v>1001</x:v>
      </x:c>
      <x:c r="B2" s="6" t="str">
        <x:v>Emergency/safety chain not healthy</x:v>
      </x:c>
      <x:c r="C2" s="6" t="str">
        <x:v>Fault</x:v>
      </x:c>
      <x:c r="D2" s="6" t="str">
        <x:v>De-energize controlled outputs; external safety restoration and reset required</x:v>
      </x:c>
      <x:c r="E2" s="6" t="str">
        <x:v>Yes</x:v>
      </x:c>
      <x:c r="F2" s="6" t="str">
        <x:v>Cause cleared and explicit reset; never automatic restart</x:v>
      </x:c>
    </x:row>
    <x:row r="3" ht="54" customHeight="1">
      <x:c r="A3" s="6" t="str">
        <x:v>1002</x:v>
      </x:c>
      <x:c r="B3" s="6" t="str">
        <x:v>Air pressure lost</x:v>
      </x:c>
      <x:c r="C3" s="6" t="str">
        <x:v>Fault</x:v>
      </x:c>
      <x:c r="D3" s="6" t="str">
        <x:v>Abort fill, close valves, stop pump and hold</x:v>
      </x:c>
      <x:c r="E3" s="6" t="str">
        <x:v>Yes</x:v>
      </x:c>
      <x:c r="F3" s="6" t="str">
        <x:v>Cause cleared and explicit reset; never automatic restart</x:v>
      </x:c>
    </x:row>
    <x:row r="4" ht="54" customHeight="1">
      <x:c r="A4" s="6" t="str">
        <x:v>1003</x:v>
      </x:c>
      <x:c r="B4" s="6" t="str">
        <x:v>Product supply lost</x:v>
      </x:c>
      <x:c r="C4" s="6" t="str">
        <x:v>Fault</x:v>
      </x:c>
      <x:c r="D4" s="6" t="str">
        <x:v>Abort fill, close valves, stop pump and hold</x:v>
      </x:c>
      <x:c r="E4" s="6" t="str">
        <x:v>Yes</x:v>
      </x:c>
      <x:c r="F4" s="6" t="str">
        <x:v>Cause cleared and explicit reset; never automatic restart</x:v>
      </x:c>
    </x:row>
    <x:row r="5" ht="54" customHeight="1">
      <x:c r="A5" s="6" t="str">
        <x:v>1004</x:v>
      </x:c>
      <x:c r="B5" s="6" t="str">
        <x:v>Guard status not closed</x:v>
      </x:c>
      <x:c r="C5" s="6" t="str">
        <x:v>Fault</x:v>
      </x:c>
      <x:c r="D5" s="6" t="str">
        <x:v>De-energize standard motion/process commands; qualified safety design remains external</x:v>
      </x:c>
      <x:c r="E5" s="6" t="str">
        <x:v>Yes</x:v>
      </x:c>
      <x:c r="F5" s="6" t="str">
        <x:v>Cause cleared and explicit reset; never automatic restart</x:v>
      </x:c>
    </x:row>
    <x:row r="6" ht="54" customHeight="1">
      <x:c r="A6" s="6" t="str">
        <x:v>1101</x:v>
      </x:c>
      <x:c r="B6" s="6" t="str">
        <x:v>Conveyor VFD fault or PN I/O invalid</x:v>
      </x:c>
      <x:c r="C6" s="6" t="str">
        <x:v>Fault</x:v>
      </x:c>
      <x:c r="D6" s="6" t="str">
        <x:v>Stop motion and hold</x:v>
      </x:c>
      <x:c r="E6" s="6" t="str">
        <x:v>Yes</x:v>
      </x:c>
      <x:c r="F6" s="6" t="str">
        <x:v>Cause cleared and explicit reset; never automatic restart</x:v>
      </x:c>
    </x:row>
    <x:row r="7" ht="54" customHeight="1">
      <x:c r="A7" s="6" t="str">
        <x:v>1102</x:v>
      </x:c>
      <x:c r="B7" s="6" t="str">
        <x:v>Pump VFD fault or PN I/O invalid</x:v>
      </x:c>
      <x:c r="C7" s="6" t="str">
        <x:v>Fault</x:v>
      </x:c>
      <x:c r="D7" s="6" t="str">
        <x:v>Close valves, stop pump request and hold</x:v>
      </x:c>
      <x:c r="E7" s="6" t="str">
        <x:v>Yes</x:v>
      </x:c>
      <x:c r="F7" s="6" t="str">
        <x:v>Cause cleared and explicit reset; never automatic restart</x:v>
      </x:c>
    </x:row>
    <x:row r="8" ht="54" customHeight="1">
      <x:c r="A8" s="6" t="str">
        <x:v>1201</x:v>
      </x:c>
      <x:c r="B8" s="6" t="str">
        <x:v>Gate feedback contradiction or travel timeout</x:v>
      </x:c>
      <x:c r="C8" s="6" t="str">
        <x:v>Fault</x:v>
      </x:c>
      <x:c r="D8" s="6" t="str">
        <x:v>Stop conveyor and hold</x:v>
      </x:c>
      <x:c r="E8" s="6" t="str">
        <x:v>Yes</x:v>
      </x:c>
      <x:c r="F8" s="6" t="str">
        <x:v>Cause cleared and explicit reset; never automatic restart</x:v>
      </x:c>
    </x:row>
    <x:row r="9" ht="54" customHeight="1">
      <x:c r="A9" s="6" t="str">
        <x:v>1202</x:v>
      </x:c>
      <x:c r="B9" s="6" t="str">
        <x:v>Clamp feedback contradiction or travel timeout</x:v>
      </x:c>
      <x:c r="C9" s="6" t="str">
        <x:v>Fault</x:v>
      </x:c>
      <x:c r="D9" s="6" t="str">
        <x:v>Close valves, stop pump and hold</x:v>
      </x:c>
      <x:c r="E9" s="6" t="str">
        <x:v>Yes</x:v>
      </x:c>
      <x:c r="F9" s="6" t="str">
        <x:v>Cause cleared and explicit reset; never automatic restart</x:v>
      </x:c>
    </x:row>
    <x:row r="10" ht="54" customHeight="1">
      <x:c r="A10" s="6" t="str">
        <x:v>1301</x:v>
      </x:c>
      <x:c r="B10" s="6" t="str">
        <x:v>Fill channel 1 no flow</x:v>
      </x:c>
      <x:c r="C10" s="6" t="str">
        <x:v>Fault</x:v>
      </x:c>
      <x:c r="D10" s="6" t="str">
        <x:v>Close channel 1; stop pump when both valves closed; quality hold</x:v>
      </x:c>
      <x:c r="E10" s="6" t="str">
        <x:v>Yes</x:v>
      </x:c>
      <x:c r="F10" s="6" t="str">
        <x:v>Cause cleared and explicit reset; never automatic restart</x:v>
      </x:c>
    </x:row>
    <x:row r="11" ht="54" customHeight="1">
      <x:c r="A11" s="6" t="str">
        <x:v>1303</x:v>
      </x:c>
      <x:c r="B11" s="6" t="str">
        <x:v>Fill channel 1 pulse/analog disagreement</x:v>
      </x:c>
      <x:c r="C11" s="6" t="str">
        <x:v>Fault</x:v>
      </x:c>
      <x:c r="D11" s="6" t="str">
        <x:v>Close channel 1; stop pump when both valves closed; quality hold</x:v>
      </x:c>
      <x:c r="E11" s="6" t="str">
        <x:v>Yes</x:v>
      </x:c>
      <x:c r="F11" s="6" t="str">
        <x:v>Cause cleared and explicit reset; never automatic restart</x:v>
      </x:c>
    </x:row>
    <x:row r="12" ht="54" customHeight="1">
      <x:c r="A12" s="6" t="str">
        <x:v>1304</x:v>
      </x:c>
      <x:c r="B12" s="6" t="str">
        <x:v>Fill channel 1 underfill</x:v>
      </x:c>
      <x:c r="C12" s="6" t="str">
        <x:v>Fault</x:v>
      </x:c>
      <x:c r="D12" s="6" t="str">
        <x:v>Close channel 1; stop pump when both valves closed; quality hold</x:v>
      </x:c>
      <x:c r="E12" s="6" t="str">
        <x:v>Yes</x:v>
      </x:c>
      <x:c r="F12" s="6" t="str">
        <x:v>Cause cleared and explicit reset; never automatic restart</x:v>
      </x:c>
    </x:row>
    <x:row r="13" ht="54" customHeight="1">
      <x:c r="A13" s="6" t="str">
        <x:v>1305</x:v>
      </x:c>
      <x:c r="B13" s="6" t="str">
        <x:v>Fill channel 1 overfill</x:v>
      </x:c>
      <x:c r="C13" s="6" t="str">
        <x:v>Fault</x:v>
      </x:c>
      <x:c r="D13" s="6" t="str">
        <x:v>Close channel 1; stop pump when both valves closed; quality hold</x:v>
      </x:c>
      <x:c r="E13" s="6" t="str">
        <x:v>Yes</x:v>
      </x:c>
      <x:c r="F13" s="6" t="str">
        <x:v>Cause cleared and explicit reset; never automatic restart</x:v>
      </x:c>
    </x:row>
    <x:row r="14" ht="54" customHeight="1">
      <x:c r="A14" s="6" t="str">
        <x:v>1306</x:v>
      </x:c>
      <x:c r="B14" s="6" t="str">
        <x:v>Fill channel 1 valve close mismatch</x:v>
      </x:c>
      <x:c r="C14" s="6" t="str">
        <x:v>Fault</x:v>
      </x:c>
      <x:c r="D14" s="6" t="str">
        <x:v>Close channel 1; stop pump when both valves closed; quality hold</x:v>
      </x:c>
      <x:c r="E14" s="6" t="str">
        <x:v>Yes</x:v>
      </x:c>
      <x:c r="F14" s="6" t="str">
        <x:v>Cause cleared and explicit reset; never automatic restart</x:v>
      </x:c>
    </x:row>
    <x:row r="15" ht="54" customHeight="1">
      <x:c r="A15" s="6" t="str">
        <x:v>1307</x:v>
      </x:c>
      <x:c r="B15" s="6" t="str">
        <x:v>Fill channel 1 analog channel broken wire</x:v>
      </x:c>
      <x:c r="C15" s="6" t="str">
        <x:v>Fault</x:v>
      </x:c>
      <x:c r="D15" s="6" t="str">
        <x:v>Close channel 1; stop pump when both valves closed; quality hold</x:v>
      </x:c>
      <x:c r="E15" s="6" t="str">
        <x:v>Yes</x:v>
      </x:c>
      <x:c r="F15" s="6" t="str">
        <x:v>Cause cleared and explicit reset; never automatic restart</x:v>
      </x:c>
    </x:row>
    <x:row r="16" ht="54" customHeight="1">
      <x:c r="A16" s="6" t="str">
        <x:v>1308</x:v>
      </x:c>
      <x:c r="B16" s="6" t="str">
        <x:v>Fill channel 1 valve open mismatch</x:v>
      </x:c>
      <x:c r="C16" s="6" t="str">
        <x:v>Fault</x:v>
      </x:c>
      <x:c r="D16" s="6" t="str">
        <x:v>Close channel 1; stop pump when both valves closed; quality hold</x:v>
      </x:c>
      <x:c r="E16" s="6" t="str">
        <x:v>Yes</x:v>
      </x:c>
      <x:c r="F16" s="6" t="str">
        <x:v>Cause cleared and explicit reset; never automatic restart</x:v>
      </x:c>
    </x:row>
    <x:row r="17" ht="54" customHeight="1">
      <x:c r="A17" s="6" t="str">
        <x:v>1309</x:v>
      </x:c>
      <x:c r="B17" s="6" t="str">
        <x:v>Fill channel 1 continued flow after close</x:v>
      </x:c>
      <x:c r="C17" s="6" t="str">
        <x:v>Fault</x:v>
      </x:c>
      <x:c r="D17" s="6" t="str">
        <x:v>Close channel 1; stop pump when both valves closed; quality hold</x:v>
      </x:c>
      <x:c r="E17" s="6" t="str">
        <x:v>Yes</x:v>
      </x:c>
      <x:c r="F17" s="6" t="str">
        <x:v>Cause cleared and explicit reset; never automatic restart</x:v>
      </x:c>
    </x:row>
    <x:row r="18" ht="54" customHeight="1">
      <x:c r="A18" s="6" t="str">
        <x:v>1310</x:v>
      </x:c>
      <x:c r="B18" s="6" t="str">
        <x:v>Fill channel 1 invalid configuration/fill timeout/abort</x:v>
      </x:c>
      <x:c r="C18" s="6" t="str">
        <x:v>Fault</x:v>
      </x:c>
      <x:c r="D18" s="6" t="str">
        <x:v>Close channel 1; stop pump when both valves closed; quality hold</x:v>
      </x:c>
      <x:c r="E18" s="6" t="str">
        <x:v>Yes</x:v>
      </x:c>
      <x:c r="F18" s="6" t="str">
        <x:v>Cause cleared and explicit reset; never automatic restart</x:v>
      </x:c>
    </x:row>
    <x:row r="19" ht="54" customHeight="1">
      <x:c r="A19" s="6" t="str">
        <x:v>1311</x:v>
      </x:c>
      <x:c r="B19" s="6" t="str">
        <x:v>Fill channel 2 no flow</x:v>
      </x:c>
      <x:c r="C19" s="6" t="str">
        <x:v>Fault</x:v>
      </x:c>
      <x:c r="D19" s="6" t="str">
        <x:v>Close channel 2; stop pump when both valves closed; quality hold</x:v>
      </x:c>
      <x:c r="E19" s="6" t="str">
        <x:v>Yes</x:v>
      </x:c>
      <x:c r="F19" s="6" t="str">
        <x:v>Cause cleared and explicit reset; never automatic restart</x:v>
      </x:c>
    </x:row>
    <x:row r="20" ht="54" customHeight="1">
      <x:c r="A20" s="6" t="str">
        <x:v>1313</x:v>
      </x:c>
      <x:c r="B20" s="6" t="str">
        <x:v>Fill channel 2 pulse/analog disagreement</x:v>
      </x:c>
      <x:c r="C20" s="6" t="str">
        <x:v>Fault</x:v>
      </x:c>
      <x:c r="D20" s="6" t="str">
        <x:v>Close channel 2; stop pump when both valves closed; quality hold</x:v>
      </x:c>
      <x:c r="E20" s="6" t="str">
        <x:v>Yes</x:v>
      </x:c>
      <x:c r="F20" s="6" t="str">
        <x:v>Cause cleared and explicit reset; never automatic restart</x:v>
      </x:c>
    </x:row>
    <x:row r="21" ht="54" customHeight="1">
      <x:c r="A21" s="6" t="str">
        <x:v>1314</x:v>
      </x:c>
      <x:c r="B21" s="6" t="str">
        <x:v>Fill channel 2 underfill</x:v>
      </x:c>
      <x:c r="C21" s="6" t="str">
        <x:v>Fault</x:v>
      </x:c>
      <x:c r="D21" s="6" t="str">
        <x:v>Close channel 2; stop pump when both valves closed; quality hold</x:v>
      </x:c>
      <x:c r="E21" s="6" t="str">
        <x:v>Yes</x:v>
      </x:c>
      <x:c r="F21" s="6" t="str">
        <x:v>Cause cleared and explicit reset; never automatic restart</x:v>
      </x:c>
    </x:row>
    <x:row r="22" ht="54" customHeight="1">
      <x:c r="A22" s="6" t="str">
        <x:v>1315</x:v>
      </x:c>
      <x:c r="B22" s="6" t="str">
        <x:v>Fill channel 2 overfill</x:v>
      </x:c>
      <x:c r="C22" s="6" t="str">
        <x:v>Fault</x:v>
      </x:c>
      <x:c r="D22" s="6" t="str">
        <x:v>Close channel 2; stop pump when both valves closed; quality hold</x:v>
      </x:c>
      <x:c r="E22" s="6" t="str">
        <x:v>Yes</x:v>
      </x:c>
      <x:c r="F22" s="6" t="str">
        <x:v>Cause cleared and explicit reset; never automatic restart</x:v>
      </x:c>
    </x:row>
    <x:row r="23" ht="54" customHeight="1">
      <x:c r="A23" s="6" t="str">
        <x:v>1316</x:v>
      </x:c>
      <x:c r="B23" s="6" t="str">
        <x:v>Fill channel 2 valve close mismatch</x:v>
      </x:c>
      <x:c r="C23" s="6" t="str">
        <x:v>Fault</x:v>
      </x:c>
      <x:c r="D23" s="6" t="str">
        <x:v>Close channel 2; stop pump when both valves closed; quality hold</x:v>
      </x:c>
      <x:c r="E23" s="6" t="str">
        <x:v>Yes</x:v>
      </x:c>
      <x:c r="F23" s="6" t="str">
        <x:v>Cause cleared and explicit reset; never automatic restart</x:v>
      </x:c>
    </x:row>
    <x:row r="24" ht="54" customHeight="1">
      <x:c r="A24" s="6" t="str">
        <x:v>1317</x:v>
      </x:c>
      <x:c r="B24" s="6" t="str">
        <x:v>Fill channel 2 analog channel broken wire</x:v>
      </x:c>
      <x:c r="C24" s="6" t="str">
        <x:v>Fault</x:v>
      </x:c>
      <x:c r="D24" s="6" t="str">
        <x:v>Close channel 2; stop pump when both valves closed; quality hold</x:v>
      </x:c>
      <x:c r="E24" s="6" t="str">
        <x:v>Yes</x:v>
      </x:c>
      <x:c r="F24" s="6" t="str">
        <x:v>Cause cleared and explicit reset; never automatic restart</x:v>
      </x:c>
    </x:row>
    <x:row r="25" ht="54" customHeight="1">
      <x:c r="A25" s="6" t="str">
        <x:v>1318</x:v>
      </x:c>
      <x:c r="B25" s="6" t="str">
        <x:v>Fill channel 2 valve open mismatch</x:v>
      </x:c>
      <x:c r="C25" s="6" t="str">
        <x:v>Fault</x:v>
      </x:c>
      <x:c r="D25" s="6" t="str">
        <x:v>Close channel 2; stop pump when both valves closed; quality hold</x:v>
      </x:c>
      <x:c r="E25" s="6" t="str">
        <x:v>Yes</x:v>
      </x:c>
      <x:c r="F25" s="6" t="str">
        <x:v>Cause cleared and explicit reset; never automatic restart</x:v>
      </x:c>
    </x:row>
    <x:row r="26" ht="54" customHeight="1">
      <x:c r="A26" s="6" t="str">
        <x:v>1319</x:v>
      </x:c>
      <x:c r="B26" s="6" t="str">
        <x:v>Fill channel 2 continued flow after close</x:v>
      </x:c>
      <x:c r="C26" s="6" t="str">
        <x:v>Fault</x:v>
      </x:c>
      <x:c r="D26" s="6" t="str">
        <x:v>Close channel 2; stop pump when both valves closed; quality hold</x:v>
      </x:c>
      <x:c r="E26" s="6" t="str">
        <x:v>Yes</x:v>
      </x:c>
      <x:c r="F26" s="6" t="str">
        <x:v>Cause cleared and explicit reset; never automatic restart</x:v>
      </x:c>
    </x:row>
    <x:row r="27" ht="54" customHeight="1">
      <x:c r="A27" s="6" t="str">
        <x:v>1320</x:v>
      </x:c>
      <x:c r="B27" s="6" t="str">
        <x:v>Fill channel 2 invalid configuration/fill timeout/abort</x:v>
      </x:c>
      <x:c r="C27" s="6" t="str">
        <x:v>Fault</x:v>
      </x:c>
      <x:c r="D27" s="6" t="str">
        <x:v>Close channel 2; stop pump when both valves closed; quality hold</x:v>
      </x:c>
      <x:c r="E27" s="6" t="str">
        <x:v>Yes</x:v>
      </x:c>
      <x:c r="F27" s="6" t="str">
        <x:v>Cause cleared and explicit reset; never automatic restart</x:v>
      </x:c>
    </x:row>
    <x:row r="28" ht="54" customHeight="1">
      <x:c r="A28" s="6" t="str">
        <x:v>1321</x:v>
      </x:c>
      <x:c r="B28" s="6" t="str">
        <x:v>Fill channel 1 pulse channel missing while analog flow is present</x:v>
      </x:c>
      <x:c r="C28" s="6" t="str">
        <x:v>Fault</x:v>
      </x:c>
      <x:c r="D28" s="6" t="str">
        <x:v>Close affected channel; remove its pump request; quality hold</x:v>
      </x:c>
      <x:c r="E28" s="6" t="str">
        <x:v>Yes</x:v>
      </x:c>
      <x:c r="F28" s="6" t="str">
        <x:v>Cause cleared and explicit reset; never automatic restart</x:v>
      </x:c>
    </x:row>
    <x:row r="29" ht="54" customHeight="1">
      <x:c r="A29" s="6" t="str">
        <x:v>1322</x:v>
      </x:c>
      <x:c r="B29" s="6" t="str">
        <x:v>Fill channel 1 analog no-flow while pulse flow is present</x:v>
      </x:c>
      <x:c r="C29" s="6" t="str">
        <x:v>Fault</x:v>
      </x:c>
      <x:c r="D29" s="6" t="str">
        <x:v>Close affected channel; remove its pump request; quality hold</x:v>
      </x:c>
      <x:c r="E29" s="6" t="str">
        <x:v>Yes</x:v>
      </x:c>
      <x:c r="F29" s="6" t="str">
        <x:v>Cause cleared and explicit reset; never automatic restart</x:v>
      </x:c>
    </x:row>
    <x:row r="30" ht="54" customHeight="1">
      <x:c r="A30" s="6" t="str">
        <x:v>1323</x:v>
      </x:c>
      <x:c r="B30" s="6" t="str">
        <x:v>Fill channel 2 pulse channel missing while analog flow is present</x:v>
      </x:c>
      <x:c r="C30" s="6" t="str">
        <x:v>Fault</x:v>
      </x:c>
      <x:c r="D30" s="6" t="str">
        <x:v>Close affected channel; remove its pump request; quality hold</x:v>
      </x:c>
      <x:c r="E30" s="6" t="str">
        <x:v>Yes</x:v>
      </x:c>
      <x:c r="F30" s="6" t="str">
        <x:v>Cause cleared and explicit reset; never automatic restart</x:v>
      </x:c>
    </x:row>
    <x:row r="31" ht="54" customHeight="1">
      <x:c r="A31" s="6" t="str">
        <x:v>1324</x:v>
      </x:c>
      <x:c r="B31" s="6" t="str">
        <x:v>Fill channel 2 analog no-flow while pulse flow is present</x:v>
      </x:c>
      <x:c r="C31" s="6" t="str">
        <x:v>Fault</x:v>
      </x:c>
      <x:c r="D31" s="6" t="str">
        <x:v>Close affected channel; remove its pump request; quality hold</x:v>
      </x:c>
      <x:c r="E31" s="6" t="str">
        <x:v>Yes</x:v>
      </x:c>
      <x:c r="F31" s="6" t="str">
        <x:v>Cause cleared and explicit reset; never automatic restart</x:v>
      </x:c>
    </x:row>
    <x:row r="32" ht="54" customHeight="1">
      <x:c r="A32" s="6" t="str">
        <x:v>1401</x:v>
      </x:c>
      <x:c r="B32" s="6" t="str">
        <x:v>Capper not ready, acceptance timeout or completion timeout</x:v>
      </x:c>
      <x:c r="C32" s="6" t="str">
        <x:v>Fault</x:v>
      </x:c>
      <x:c r="D32" s="6" t="str">
        <x:v>Keep pair controlled; operator disposition</x:v>
      </x:c>
      <x:c r="E32" s="6" t="str">
        <x:v>Yes</x:v>
      </x:c>
      <x:c r="F32" s="6" t="str">
        <x:v>Cause cleared and explicit reset; never automatic restart</x:v>
      </x:c>
    </x:row>
    <x:row r="33" ht="54" customHeight="1">
      <x:c r="A33" s="6" t="str">
        <x:v>1402</x:v>
      </x:c>
      <x:c r="B33" s="6" t="str">
        <x:v>Capper reported fault or invalid handshake order</x:v>
      </x:c>
      <x:c r="C33" s="6" t="str">
        <x:v>Fault</x:v>
      </x:c>
      <x:c r="D33" s="6" t="str">
        <x:v>Keep pair controlled; operator disposition</x:v>
      </x:c>
      <x:c r="E33" s="6" t="str">
        <x:v>Yes</x:v>
      </x:c>
      <x:c r="F33" s="6" t="str">
        <x:v>Cause cleared and explicit reset; never automatic restart</x:v>
      </x:c>
    </x:row>
    <x:row r="34" ht="54" customHeight="1">
      <x:c r="A34" s="6" t="str">
        <x:v>1501</x:v>
      </x:c>
      <x:c r="B34" s="6" t="str">
        <x:v>Vision not ready</x:v>
      </x:c>
      <x:c r="C34" s="6" t="str">
        <x:v>Fault</x:v>
      </x:c>
      <x:c r="D34" s="6" t="str">
        <x:v>Do not transfer; quality hold</x:v>
      </x:c>
      <x:c r="E34" s="6" t="str">
        <x:v>Yes</x:v>
      </x:c>
      <x:c r="F34" s="6" t="str">
        <x:v>Cause cleared and explicit reset; never automatic restart</x:v>
      </x:c>
    </x:row>
    <x:row r="35" ht="54" customHeight="1">
      <x:c r="A35" s="6" t="str">
        <x:v>1502</x:v>
      </x:c>
      <x:c r="B35" s="6" t="str">
        <x:v>Vision result timeout</x:v>
      </x:c>
      <x:c r="C35" s="6" t="str">
        <x:v>Fault</x:v>
      </x:c>
      <x:c r="D35" s="6" t="str">
        <x:v>Do not transfer; quality hold</x:v>
      </x:c>
      <x:c r="E35" s="6" t="str">
        <x:v>Yes</x:v>
      </x:c>
      <x:c r="F35" s="6" t="str">
        <x:v>Cause cleared and explicit reset; never automatic restart</x:v>
      </x:c>
    </x:row>
    <x:row r="36" ht="54" customHeight="1">
      <x:c r="A36" s="6" t="str">
        <x:v>1503</x:v>
      </x:c>
      <x:c r="B36" s="6" t="str">
        <x:v>Vision stale/mismatched result ID</x:v>
      </x:c>
      <x:c r="C36" s="6" t="str">
        <x:v>Fault</x:v>
      </x:c>
      <x:c r="D36" s="6" t="str">
        <x:v>Do not transfer; quality hold</x:v>
      </x:c>
      <x:c r="E36" s="6" t="str">
        <x:v>Yes</x:v>
      </x:c>
      <x:c r="F36" s="6" t="str">
        <x:v>Cause cleared and explicit reset; never automatic restart</x:v>
      </x:c>
    </x:row>
    <x:row r="37" ht="54" customHeight="1">
      <x:c r="A37" s="6" t="str">
        <x:v>1504</x:v>
      </x:c>
      <x:c r="B37" s="6" t="str">
        <x:v>Vision blocking quality result or low confidence</x:v>
      </x:c>
      <x:c r="C37" s="6" t="str">
        <x:v>Fault</x:v>
      </x:c>
      <x:c r="D37" s="6" t="str">
        <x:v>Do not transfer; quality hold</x:v>
      </x:c>
      <x:c r="E37" s="6" t="str">
        <x:v>Yes</x:v>
      </x:c>
      <x:c r="F37" s="6" t="str">
        <x:v>Cause cleared and explicit reset; never automatic restart</x:v>
      </x:c>
    </x:row>
    <x:row r="38" ht="54" customHeight="1">
      <x:c r="A38" s="6" t="str">
        <x:v>1505</x:v>
      </x:c>
      <x:c r="B38" s="6" t="str">
        <x:v>Vision heartbeat lost</x:v>
      </x:c>
      <x:c r="C38" s="6" t="str">
        <x:v>Fault</x:v>
      </x:c>
      <x:c r="D38" s="6" t="str">
        <x:v>Do not transfer; quality hold</x:v>
      </x:c>
      <x:c r="E38" s="6" t="str">
        <x:v>Yes</x:v>
      </x:c>
      <x:c r="F38" s="6" t="str">
        <x:v>Cause cleared and explicit reset; never automatic restart</x:v>
      </x:c>
    </x:row>
    <x:row r="39" ht="54" customHeight="1">
      <x:c r="A39" s="6" t="str">
        <x:v>1506</x:v>
      </x:c>
      <x:c r="B39" s="6" t="str">
        <x:v>Vision protocol contradiction</x:v>
      </x:c>
      <x:c r="C39" s="6" t="str">
        <x:v>Fault</x:v>
      </x:c>
      <x:c r="D39" s="6" t="str">
        <x:v>Do not transfer; quality hold</x:v>
      </x:c>
      <x:c r="E39" s="6" t="str">
        <x:v>Yes</x:v>
      </x:c>
      <x:c r="F39" s="6" t="str">
        <x:v>Cause cleared and explicit reset; never automatic restart</x:v>
      </x:c>
    </x:row>
    <x:row r="40" ht="54" customHeight="1">
      <x:c r="A40" s="6" t="str">
        <x:v>1601</x:v>
      </x:c>
      <x:c r="B40" s="6" t="str">
        <x:v>HMI command heartbeat lost</x:v>
      </x:c>
      <x:c r="C40" s="6" t="str">
        <x:v>Fault</x:v>
      </x:c>
      <x:c r="D40" s="6" t="str">
        <x:v>Reject new HMI commands and enter controlled fault handling</x:v>
      </x:c>
      <x:c r="E40" s="6" t="str">
        <x:v>Yes</x:v>
      </x:c>
      <x:c r="F40" s="6" t="str">
        <x:v>Cause cleared and explicit reset; never automatic restart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22.5" hidden="0" customWidth="1"/>
  </x:cols>
  <x:sheetData>
    <x:row r="1" ht="31.5" customHeight="1">
      <x:c r="A1" s="12" t="str">
        <x:v>drive</x:v>
      </x:c>
      <x:c r="B1" s="12" t="str">
        <x:v>parameter</x:v>
      </x:c>
      <x:c r="C1" s="12" t="str">
        <x:v>value</x:v>
      </x:c>
      <x:c r="D1" s="12" t="str">
        <x:v>status</x:v>
      </x:c>
    </x:row>
    <x:row r="2" ht="27" customHeight="1">
      <x:c r="A2" s="6" t="str">
        <x:v>-U100/-U101</x:v>
      </x:c>
      <x:c r="B2" s="6" t="str">
        <x:v>Primary control</x:v>
      </x:c>
      <x:c r="C2" s="6" t="str">
        <x:v>PROFINET Standard Telegram 1</x:v>
      </x:c>
      <x:c r="D2" s="6" t="str">
        <x:v>Design baseline; native confirmation open</x:v>
      </x:c>
    </x:row>
    <x:row r="3" ht="27" customHeight="1">
      <x:c r="A3" s="6" t="str">
        <x:v>-U100/-U101</x:v>
      </x:c>
      <x:c r="B3" s="6" t="str">
        <x:v>PZD</x:v>
      </x:c>
      <x:c r="C3" s="6" t="str">
        <x:v>STW1/NSOLL_A and ZSW1/NIST_A, 2 words each direction</x:v>
      </x:c>
      <x:c r="D3" s="6" t="str">
        <x:v>Addresses controlled in drive interface schedule</x:v>
      </x:c>
    </x:row>
    <x:row r="4" ht="27" customHeight="1">
      <x:c r="A4" s="6" t="str">
        <x:v>-U100/-U101</x:v>
      </x:c>
      <x:c r="B4" s="6" t="str">
        <x:v>Scaling</x:v>
      </x:c>
      <x:c r="C4" s="6" t="str">
        <x:v>Signed 16384 = 100 percent reference speed</x:v>
      </x:c>
      <x:c r="D4" s="6" t="str">
        <x:v>Reference speed/motor data open</x:v>
      </x:c>
    </x:row>
    <x:row r="5" ht="27" customHeight="1">
      <x:c r="A5" s="6" t="str">
        <x:v>-U100/-U101</x:v>
      </x:c>
      <x:c r="B5" s="6" t="str">
        <x:v>Hardwired standard I/O</x:v>
      </x:c>
      <x:c r="C5" s="6" t="str">
        <x:v>None for run/ready/running/fault</x:v>
      </x:c>
      <x:c r="D5" s="6" t="str">
        <x:v>Removed from PLC physical I/O</x:v>
      </x:c>
    </x:row>
    <x:row r="6" ht="27" customHeight="1">
      <x:c r="A6" s="6" t="str">
        <x:v>-U100/-U101</x:v>
      </x:c>
      <x:c r="B6" s="6" t="str">
        <x:v>STO</x:v>
      </x:c>
      <x:c r="C6" s="6" t="str">
        <x:v>External conceptual safety interface only</x:v>
      </x:c>
      <x:c r="D6" s="6" t="str">
        <x:v>Qualified safety design required</x:v>
      </x:c>
    </x:row>
    <x:row r="7" ht="27" customHeight="1">
      <x:c r="A7" s="6" t="str">
        <x:v>-U100/-U101</x:v>
      </x:c>
      <x:c r="B7" s="6" t="str">
        <x:v>Ramps/current/min/max/braking/EMC</x:v>
      </x:c>
      <x:c r="C7" s="6" t="str">
        <x:v>Not selected</x:v>
      </x:c>
      <x:c r="D7" s="6" t="str">
        <x:v>Motor, mechanics, supply and cable inputs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22.5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0.630000114440918" hidden="0" customWidth="1"/>
  </x:cols>
  <x:sheetData>
    <x:row r="1" ht="31.5" customHeight="1">
      <x:c r="A1" s="12" t="str">
        <x:v>signal</x:v>
      </x:c>
      <x:c r="B1" s="12" t="str">
        <x:v>data_type</x:v>
      </x:c>
      <x:c r="C1" s="12" t="str">
        <x:v>owner</x:v>
      </x:c>
      <x:c r="D1" s="12" t="str">
        <x:v>meaning</x:v>
      </x:c>
      <x:c r="E1" s="12" t="str">
        <x:v>transport</x:v>
      </x:c>
      <x:c r="F1" s="12" t="str">
        <x:v>timeout_ms</x:v>
      </x:c>
      <x:c r="G1" s="12" t="str">
        <x:v>opcua_type</x:v>
      </x:c>
      <x:c r="H1" s="12" t="str">
        <x:v>byte_order</x:v>
      </x:c>
      <x:c r="I1" s="12" t="str">
        <x:v>update_rule</x:v>
      </x:c>
      <x:c r="J1" s="12" t="str">
        <x:v>invalid_action</x:v>
      </x:c>
    </x:row>
    <x:row r="2" ht="54" customHeight="1">
      <x:c r="A2" s="6" t="str">
        <x:v>VISION_ENABLE</x:v>
      </x:c>
      <x:c r="B2" s="6" t="str">
        <x:v>BOOL</x:v>
      </x:c>
      <x:c r="C2" s="6" t="str">
        <x:v>PLC</x:v>
      </x:c>
      <x:c r="D2" s="6" t="str">
        <x:v>Enable inspection service</x:v>
      </x:c>
      <x:c r="E2" s="6" t="str">
        <x:v>OPC UA ns=3;s=FC01.Vision.VISION_ENABLE</x:v>
      </x:c>
      <x:c r="F2" s="6" t="str">
        <x:v>0</x:v>
      </x:c>
      <x:c r="G2" s="6" t="str">
        <x:v>Boolean</x:v>
      </x:c>
      <x:c r="H2" s="6" t="str">
        <x:v>OPC UA typed scalar; no application byte swapping</x:v>
      </x:c>
      <x:c r="I2" s="6" t="str">
        <x:v>PLC writes request/configuration; immutable while active</x:v>
      </x:c>
      <x:c r="J2" s="6" t="str">
        <x:v>Edge refuses request and remains not ready/faulted</x:v>
      </x:c>
    </x:row>
    <x:row r="3" ht="54" customHeight="1">
      <x:c r="A3" s="6" t="str">
        <x:v>INSPECTION_TRIGGER</x:v>
      </x:c>
      <x:c r="B3" s="6" t="str">
        <x:v>BOOL</x:v>
      </x:c>
      <x:c r="C3" s="6" t="str">
        <x:v>PLC</x:v>
      </x:c>
      <x:c r="D3" s="6" t="str">
        <x:v>Level-held inspection request; remains true until coherent BUSY observation or terminal result for the immutable session/inspection ID</x:v>
      </x:c>
      <x:c r="E3" s="6" t="str">
        <x:v>OPC UA ns=3;s=FC01.Vision.INSPECTION_TRIGGER</x:v>
      </x:c>
      <x:c r="F3" s="6" t="str">
        <x:v>0</x:v>
      </x:c>
      <x:c r="G3" s="6" t="str">
        <x:v>Boolean</x:v>
      </x:c>
      <x:c r="H3" s="6" t="str">
        <x:v>OPC UA typed scalar; no application byte swapping</x:v>
      </x:c>
      <x:c r="I3" s="6" t="str">
        <x:v>PLC writes request/configuration; immutable while active</x:v>
      </x:c>
      <x:c r="J3" s="6" t="str">
        <x:v>Edge refuses request and remains not ready/faulted</x:v>
      </x:c>
    </x:row>
    <x:row r="4" ht="54" customHeight="1">
      <x:c r="A4" s="6" t="str">
        <x:v>INSPECTION_ID</x:v>
      </x:c>
      <x:c r="B4" s="6" t="str">
        <x:v>UDINT</x:v>
      </x:c>
      <x:c r="C4" s="6" t="str">
        <x:v>PLC</x:v>
      </x:c>
      <x:c r="D4" s="6" t="str">
        <x:v>Monotonic correlation identifier</x:v>
      </x:c>
      <x:c r="E4" s="6" t="str">
        <x:v>OPC UA ns=3;s=FC01.Vision.INSPECTION_ID</x:v>
      </x:c>
      <x:c r="F4" s="6" t="str">
        <x:v>0</x:v>
      </x:c>
      <x:c r="G4" s="6" t="str">
        <x:v>UInt32</x:v>
      </x:c>
      <x:c r="H4" s="6" t="str">
        <x:v>OPC UA typed scalar; no application byte swapping</x:v>
      </x:c>
      <x:c r="I4" s="6" t="str">
        <x:v>PLC writes request/configuration; immutable while active</x:v>
      </x:c>
      <x:c r="J4" s="6" t="str">
        <x:v>Edge refuses request and remains not ready/faulted</x:v>
      </x:c>
    </x:row>
    <x:row r="5" ht="54" customHeight="1">
      <x:c r="A5" s="6" t="str">
        <x:v>RECIPE_ID</x:v>
      </x:c>
      <x:c r="B5" s="6" t="str">
        <x:v>UINT</x:v>
      </x:c>
      <x:c r="C5" s="6" t="str">
        <x:v>PLC</x:v>
      </x:c>
      <x:c r="D5" s="6" t="str">
        <x:v>Active recipe identifier</x:v>
      </x:c>
      <x:c r="E5" s="6" t="str">
        <x:v>OPC UA ns=3;s=FC01.Vision.RECIPE_ID</x:v>
      </x:c>
      <x:c r="F5" s="6" t="str">
        <x:v>0</x:v>
      </x:c>
      <x:c r="G5" s="6" t="str">
        <x:v>UInt16</x:v>
      </x:c>
      <x:c r="H5" s="6" t="str">
        <x:v>OPC UA typed scalar; no application byte swapping</x:v>
      </x:c>
      <x:c r="I5" s="6" t="str">
        <x:v>PLC writes request/configuration; immutable while active</x:v>
      </x:c>
      <x:c r="J5" s="6" t="str">
        <x:v>Edge refuses request and remains not ready/faulted</x:v>
      </x:c>
    </x:row>
    <x:row r="6" ht="54" customHeight="1">
      <x:c r="A6" s="6" t="str">
        <x:v>EXPECTED_BOTTLES</x:v>
      </x:c>
      <x:c r="B6" s="6" t="str">
        <x:v>USINT</x:v>
      </x:c>
      <x:c r="C6" s="6" t="str">
        <x:v>PLC</x:v>
      </x:c>
      <x:c r="D6" s="6" t="str">
        <x:v>Expected count; fixed at 2 for production</x:v>
      </x:c>
      <x:c r="E6" s="6" t="str">
        <x:v>OPC UA ns=3;s=FC01.Vision.EXPECTED_BOTTLES</x:v>
      </x:c>
      <x:c r="F6" s="6" t="str">
        <x:v>0</x:v>
      </x:c>
      <x:c r="G6" s="6" t="str">
        <x:v>Byte</x:v>
      </x:c>
      <x:c r="H6" s="6" t="str">
        <x:v>OPC UA typed scalar; no application byte swapping</x:v>
      </x:c>
      <x:c r="I6" s="6" t="str">
        <x:v>PLC writes request/configuration; immutable while active</x:v>
      </x:c>
      <x:c r="J6" s="6" t="str">
        <x:v>Edge refuses request and remains not ready/faulted</x:v>
      </x:c>
    </x:row>
    <x:row r="7" ht="54" customHeight="1">
      <x:c r="A7" s="6" t="str">
        <x:v>TARGET_FILL_LEVEL</x:v>
      </x:c>
      <x:c r="B7" s="6" t="str">
        <x:v>REAL</x:v>
      </x:c>
      <x:c r="C7" s="6" t="str">
        <x:v>PLC</x:v>
      </x:c>
      <x:c r="D7" s="6" t="str">
        <x:v>Normalized visible target</x:v>
      </x:c>
      <x:c r="E7" s="6" t="str">
        <x:v>OPC UA ns=3;s=FC01.Vision.TARGET_FILL_LEVEL</x:v>
      </x:c>
      <x:c r="F7" s="6" t="str">
        <x:v>0</x:v>
      </x:c>
      <x:c r="G7" s="6" t="str">
        <x:v>Float</x:v>
      </x:c>
      <x:c r="H7" s="6" t="str">
        <x:v>OPC UA typed scalar; no application byte swapping</x:v>
      </x:c>
      <x:c r="I7" s="6" t="str">
        <x:v>PLC writes request/configuration; immutable while active</x:v>
      </x:c>
      <x:c r="J7" s="6" t="str">
        <x:v>Edge refuses request and remains not ready/faulted</x:v>
      </x:c>
    </x:row>
    <x:row r="8" ht="54" customHeight="1">
      <x:c r="A8" s="6" t="str">
        <x:v>PLC_HEARTBEAT</x:v>
      </x:c>
      <x:c r="B8" s="6" t="str">
        <x:v>UDINT</x:v>
      </x:c>
      <x:c r="C8" s="6" t="str">
        <x:v>PLC</x:v>
      </x:c>
      <x:c r="D8" s="6" t="str">
        <x:v>Monotonic heartbeat counter</x:v>
      </x:c>
      <x:c r="E8" s="6" t="str">
        <x:v>OPC UA ns=3;s=FC01.Vision.PLC_HEARTBEAT</x:v>
      </x:c>
      <x:c r="F8" s="6" t="str">
        <x:v>0</x:v>
      </x:c>
      <x:c r="G8" s="6" t="str">
        <x:v>UInt32</x:v>
      </x:c>
      <x:c r="H8" s="6" t="str">
        <x:v>OPC UA typed scalar; no application byte swapping</x:v>
      </x:c>
      <x:c r="I8" s="6" t="str">
        <x:v>PLC writes request/configuration; immutable while active</x:v>
      </x:c>
      <x:c r="J8" s="6" t="str">
        <x:v>Edge refuses request and remains not ready/faulted</x:v>
      </x:c>
    </x:row>
    <x:row r="9" ht="54" customHeight="1">
      <x:c r="A9" s="6" t="str">
        <x:v>VISION_READY</x:v>
      </x:c>
      <x:c r="B9" s="6" t="str">
        <x:v>BOOL</x:v>
      </x:c>
      <x:c r="C9" s="6" t="str">
        <x:v>NVIDIA</x:v>
      </x:c>
      <x:c r="D9" s="6" t="str">
        <x:v>Pipeline and model ready</x:v>
      </x:c>
      <x:c r="E9" s="6" t="str">
        <x:v>OPC UA ns=3;s=FC01.Vision.VISION_READY</x:v>
      </x:c>
      <x:c r="F9" s="6" t="str">
        <x:v>0</x:v>
      </x:c>
      <x:c r="G9" s="6" t="str">
        <x:v>Boolean</x:v>
      </x:c>
      <x:c r="H9" s="6" t="str">
        <x:v>OPC UA typed scalar; no application byte swapping</x:v>
      </x:c>
      <x:c r="I9" s="6" t="str">
        <x:v>Edge writes payload before RESULT_VALID; immutable until exact ACK</x:v>
      </x:c>
      <x:c r="J9" s="6" t="str">
        <x:v>PLC rejects publication and enters deterministic HOLD/FAULT</x:v>
      </x:c>
    </x:row>
    <x:row r="10" ht="54" customHeight="1">
      <x:c r="A10" s="6" t="str">
        <x:v>VISION_BUSY</x:v>
      </x:c>
      <x:c r="B10" s="6" t="str">
        <x:v>BOOL</x:v>
      </x:c>
      <x:c r="C10" s="6" t="str">
        <x:v>NVIDIA</x:v>
      </x:c>
      <x:c r="D10" s="6" t="str">
        <x:v>Request in progress</x:v>
      </x:c>
      <x:c r="E10" s="6" t="str">
        <x:v>OPC UA ns=3;s=FC01.Vision.VISION_BUSY</x:v>
      </x:c>
      <x:c r="F10" s="6" t="str">
        <x:v>0</x:v>
      </x:c>
      <x:c r="G10" s="6" t="str">
        <x:v>Boolean</x:v>
      </x:c>
      <x:c r="H10" s="6" t="str">
        <x:v>OPC UA typed scalar; no application byte swapping</x:v>
      </x:c>
      <x:c r="I10" s="6" t="str">
        <x:v>Edge writes payload before RESULT_VALID; immutable until exact ACK</x:v>
      </x:c>
      <x:c r="J10" s="6" t="str">
        <x:v>PLC rejects publication and enters deterministic HOLD/FAULT</x:v>
      </x:c>
    </x:row>
    <x:row r="11" ht="54" customHeight="1">
      <x:c r="A11" s="6" t="str">
        <x:v>RESULT_VALID</x:v>
      </x:c>
      <x:c r="B11" s="6" t="str">
        <x:v>BOOL</x:v>
      </x:c>
      <x:c r="C11" s="6" t="str">
        <x:v>NVIDIA</x:v>
      </x:c>
      <x:c r="D11" s="6" t="str">
        <x:v>Result payload is complete</x:v>
      </x:c>
      <x:c r="E11" s="6" t="str">
        <x:v>OPC UA ns=3;s=FC01.Vision.RESULT_VALID</x:v>
      </x:c>
      <x:c r="F11" s="6" t="str">
        <x:v>1000</x:v>
      </x:c>
      <x:c r="G11" s="6" t="str">
        <x:v>Boolean</x:v>
      </x:c>
      <x:c r="H11" s="6" t="str">
        <x:v>OPC UA typed scalar; no application byte swapping</x:v>
      </x:c>
      <x:c r="I11" s="6" t="str">
        <x:v>Edge writes payload before RESULT_VALID; immutable until exact ACK</x:v>
      </x:c>
      <x:c r="J11" s="6" t="str">
        <x:v>PLC rejects publication and enters deterministic HOLD/FAULT</x:v>
      </x:c>
    </x:row>
    <x:row r="12" ht="54" customHeight="1">
      <x:c r="A12" s="6" t="str">
        <x:v>RESULT_ID</x:v>
      </x:c>
      <x:c r="B12" s="6" t="str">
        <x:v>UDINT</x:v>
      </x:c>
      <x:c r="C12" s="6" t="str">
        <x:v>NVIDIA</x:v>
      </x:c>
      <x:c r="D12" s="6" t="str">
        <x:v>Echoed correlation identifier</x:v>
      </x:c>
      <x:c r="E12" s="6" t="str">
        <x:v>OPC UA ns=3;s=FC01.Vision.RESULT_ID</x:v>
      </x:c>
      <x:c r="F12" s="6" t="str">
        <x:v>0</x:v>
      </x:c>
      <x:c r="G12" s="6" t="str">
        <x:v>UInt32</x:v>
      </x:c>
      <x:c r="H12" s="6" t="str">
        <x:v>OPC UA typed scalar; no application byte swapping</x:v>
      </x:c>
      <x:c r="I12" s="6" t="str">
        <x:v>Edge writes payload before RESULT_VALID; immutable until exact ACK</x:v>
      </x:c>
      <x:c r="J12" s="6" t="str">
        <x:v>PLC rejects publication and enters deterministic HOLD/FAULT</x:v>
      </x:c>
    </x:row>
    <x:row r="13" ht="54" customHeight="1">
      <x:c r="A13" s="6" t="str">
        <x:v>BOTTLE_1_PASS</x:v>
      </x:c>
      <x:c r="B13" s="6" t="str">
        <x:v>BOOL</x:v>
      </x:c>
      <x:c r="C13" s="6" t="str">
        <x:v>NVIDIA</x:v>
      </x:c>
      <x:c r="D13" s="6" t="str">
        <x:v>Bottle 1 quality decision</x:v>
      </x:c>
      <x:c r="E13" s="6" t="str">
        <x:v>OPC UA ns=3;s=FC01.Vision.BOTTLE_1_PASS</x:v>
      </x:c>
      <x:c r="F13" s="6" t="str">
        <x:v>0</x:v>
      </x:c>
      <x:c r="G13" s="6" t="str">
        <x:v>Boolean</x:v>
      </x:c>
      <x:c r="H13" s="6" t="str">
        <x:v>OPC UA typed scalar; no application byte swapping</x:v>
      </x:c>
      <x:c r="I13" s="6" t="str">
        <x:v>Edge writes payload before RESULT_VALID; immutable until exact ACK</x:v>
      </x:c>
      <x:c r="J13" s="6" t="str">
        <x:v>PLC rejects publication and enters deterministic HOLD/FAULT</x:v>
      </x:c>
    </x:row>
    <x:row r="14" ht="54" customHeight="1">
      <x:c r="A14" s="6" t="str">
        <x:v>BOTTLE_2_PASS</x:v>
      </x:c>
      <x:c r="B14" s="6" t="str">
        <x:v>BOOL</x:v>
      </x:c>
      <x:c r="C14" s="6" t="str">
        <x:v>NVIDIA</x:v>
      </x:c>
      <x:c r="D14" s="6" t="str">
        <x:v>Bottle 2 quality decision</x:v>
      </x:c>
      <x:c r="E14" s="6" t="str">
        <x:v>OPC UA ns=3;s=FC01.Vision.BOTTLE_2_PASS</x:v>
      </x:c>
      <x:c r="F14" s="6" t="str">
        <x:v>0</x:v>
      </x:c>
      <x:c r="G14" s="6" t="str">
        <x:v>Boolean</x:v>
      </x:c>
      <x:c r="H14" s="6" t="str">
        <x:v>OPC UA typed scalar; no application byte swapping</x:v>
      </x:c>
      <x:c r="I14" s="6" t="str">
        <x:v>Edge writes payload before RESULT_VALID; immutable until exact ACK</x:v>
      </x:c>
      <x:c r="J14" s="6" t="str">
        <x:v>PLC rejects publication and enters deterministic HOLD/FAULT</x:v>
      </x:c>
    </x:row>
    <x:row r="15" ht="54" customHeight="1">
      <x:c r="A15" s="6" t="str">
        <x:v>FILL_1_STATUS</x:v>
      </x:c>
      <x:c r="B15" s="6" t="str">
        <x:v>USINT</x:v>
      </x:c>
      <x:c r="C15" s="6" t="str">
        <x:v>NVIDIA</x:v>
      </x:c>
      <x:c r="D15" s="6" t="str">
        <x:v>0 unknown, 1 under, 2 in-range, 3 over</x:v>
      </x:c>
      <x:c r="E15" s="6" t="str">
        <x:v>OPC UA ns=3;s=FC01.Vision.FILL_1_STATUS</x:v>
      </x:c>
      <x:c r="F15" s="6" t="str">
        <x:v>0</x:v>
      </x:c>
      <x:c r="G15" s="6" t="str">
        <x:v>Byte</x:v>
      </x:c>
      <x:c r="H15" s="6" t="str">
        <x:v>OPC UA typed scalar; no application byte swapping</x:v>
      </x:c>
      <x:c r="I15" s="6" t="str">
        <x:v>Edge writes payload before RESULT_VALID; immutable until exact ACK</x:v>
      </x:c>
      <x:c r="J15" s="6" t="str">
        <x:v>PLC rejects publication and enters deterministic HOLD/FAULT</x:v>
      </x:c>
    </x:row>
    <x:row r="16" ht="54" customHeight="1">
      <x:c r="A16" s="6" t="str">
        <x:v>FILL_2_STATUS</x:v>
      </x:c>
      <x:c r="B16" s="6" t="str">
        <x:v>USINT</x:v>
      </x:c>
      <x:c r="C16" s="6" t="str">
        <x:v>NVIDIA</x:v>
      </x:c>
      <x:c r="D16" s="6" t="str">
        <x:v>0 unknown, 1 under, 2 in-range, 3 over</x:v>
      </x:c>
      <x:c r="E16" s="6" t="str">
        <x:v>OPC UA ns=3;s=FC01.Vision.FILL_2_STATUS</x:v>
      </x:c>
      <x:c r="F16" s="6" t="str">
        <x:v>0</x:v>
      </x:c>
      <x:c r="G16" s="6" t="str">
        <x:v>Byte</x:v>
      </x:c>
      <x:c r="H16" s="6" t="str">
        <x:v>OPC UA typed scalar; no application byte swapping</x:v>
      </x:c>
      <x:c r="I16" s="6" t="str">
        <x:v>Edge writes payload before RESULT_VALID; immutable until exact ACK</x:v>
      </x:c>
      <x:c r="J16" s="6" t="str">
        <x:v>PLC rejects publication and enters deterministic HOLD/FAULT</x:v>
      </x:c>
    </x:row>
    <x:row r="17" ht="54" customHeight="1">
      <x:c r="A17" s="6" t="str">
        <x:v>LEAK_OR_SPILL_DETECTED</x:v>
      </x:c>
      <x:c r="B17" s="6" t="str">
        <x:v>BOOL</x:v>
      </x:c>
      <x:c r="C17" s="6" t="str">
        <x:v>NVIDIA</x:v>
      </x:c>
      <x:c r="D17" s="6" t="str">
        <x:v>Visible leak/spill indication</x:v>
      </x:c>
      <x:c r="E17" s="6" t="str">
        <x:v>OPC UA ns=3;s=FC01.Vision.LEAK_OR_SPILL_DETECTED</x:v>
      </x:c>
      <x:c r="F17" s="6" t="str">
        <x:v>0</x:v>
      </x:c>
      <x:c r="G17" s="6" t="str">
        <x:v>Boolean</x:v>
      </x:c>
      <x:c r="H17" s="6" t="str">
        <x:v>OPC UA typed scalar; no application byte swapping</x:v>
      </x:c>
      <x:c r="I17" s="6" t="str">
        <x:v>Edge writes payload before RESULT_VALID; immutable until exact ACK</x:v>
      </x:c>
      <x:c r="J17" s="6" t="str">
        <x:v>PLC rejects publication and enters deterministic HOLD/FAULT</x:v>
      </x:c>
    </x:row>
    <x:row r="18" ht="54" customHeight="1">
      <x:c r="A18" s="6" t="str">
        <x:v>LOW_CONFIDENCE</x:v>
      </x:c>
      <x:c r="B18" s="6" t="str">
        <x:v>BOOL</x:v>
      </x:c>
      <x:c r="C18" s="6" t="str">
        <x:v>NVIDIA</x:v>
      </x:c>
      <x:c r="D18" s="6" t="str">
        <x:v>Confidence below validated threshold</x:v>
      </x:c>
      <x:c r="E18" s="6" t="str">
        <x:v>OPC UA ns=3;s=FC01.Vision.LOW_CONFIDENCE</x:v>
      </x:c>
      <x:c r="F18" s="6" t="str">
        <x:v>0</x:v>
      </x:c>
      <x:c r="G18" s="6" t="str">
        <x:v>Boolean</x:v>
      </x:c>
      <x:c r="H18" s="6" t="str">
        <x:v>OPC UA typed scalar; no application byte swapping</x:v>
      </x:c>
      <x:c r="I18" s="6" t="str">
        <x:v>Edge writes payload before RESULT_VALID; immutable until exact ACK</x:v>
      </x:c>
      <x:c r="J18" s="6" t="str">
        <x:v>PLC rejects publication and enters deterministic HOLD/FAULT</x:v>
      </x:c>
    </x:row>
    <x:row r="19" ht="54" customHeight="1">
      <x:c r="A19" s="6" t="str">
        <x:v>VISION_WARNING</x:v>
      </x:c>
      <x:c r="B19" s="6" t="str">
        <x:v>BOOL</x:v>
      </x:c>
      <x:c r="C19" s="6" t="str">
        <x:v>NVIDIA</x:v>
      </x:c>
      <x:c r="D19" s="6" t="str">
        <x:v>Degraded but communicating</x:v>
      </x:c>
      <x:c r="E19" s="6" t="str">
        <x:v>OPC UA ns=3;s=FC01.Vision.VISION_WARNING</x:v>
      </x:c>
      <x:c r="F19" s="6" t="str">
        <x:v>0</x:v>
      </x:c>
      <x:c r="G19" s="6" t="str">
        <x:v>Boolean</x:v>
      </x:c>
      <x:c r="H19" s="6" t="str">
        <x:v>OPC UA typed scalar; no application byte swapping</x:v>
      </x:c>
      <x:c r="I19" s="6" t="str">
        <x:v>Edge writes payload before RESULT_VALID; immutable until exact ACK</x:v>
      </x:c>
      <x:c r="J19" s="6" t="str">
        <x:v>PLC rejects publication and enters deterministic HOLD/FAULT</x:v>
      </x:c>
    </x:row>
    <x:row r="20" ht="54" customHeight="1">
      <x:c r="A20" s="6" t="str">
        <x:v>VISION_FAULT</x:v>
      </x:c>
      <x:c r="B20" s="6" t="str">
        <x:v>BOOL</x:v>
      </x:c>
      <x:c r="C20" s="6" t="str">
        <x:v>NVIDIA</x:v>
      </x:c>
      <x:c r="D20" s="6" t="str">
        <x:v>Blocking internal fault</x:v>
      </x:c>
      <x:c r="E20" s="6" t="str">
        <x:v>OPC UA ns=3;s=FC01.Vision.VISION_FAULT</x:v>
      </x:c>
      <x:c r="F20" s="6" t="str">
        <x:v>0</x:v>
      </x:c>
      <x:c r="G20" s="6" t="str">
        <x:v>Boolean</x:v>
      </x:c>
      <x:c r="H20" s="6" t="str">
        <x:v>OPC UA typed scalar; no application byte swapping</x:v>
      </x:c>
      <x:c r="I20" s="6" t="str">
        <x:v>Edge writes payload before RESULT_VALID; immutable until exact ACK</x:v>
      </x:c>
      <x:c r="J20" s="6" t="str">
        <x:v>PLC rejects publication and enters deterministic HOLD/FAULT</x:v>
      </x:c>
    </x:row>
    <x:row r="21" ht="54" customHeight="1">
      <x:c r="A21" s="6" t="str">
        <x:v>INFERENCE_TIME</x:v>
      </x:c>
      <x:c r="B21" s="6" t="str">
        <x:v>UDINT</x:v>
      </x:c>
      <x:c r="C21" s="6" t="str">
        <x:v>NVIDIA</x:v>
      </x:c>
      <x:c r="D21" s="6" t="str">
        <x:v>Measured pipeline time in milliseconds</x:v>
      </x:c>
      <x:c r="E21" s="6" t="str">
        <x:v>OPC UA ns=3;s=FC01.Vision.INFERENCE_TIME</x:v>
      </x:c>
      <x:c r="F21" s="6" t="str">
        <x:v>0</x:v>
      </x:c>
      <x:c r="G21" s="6" t="str">
        <x:v>UInt32</x:v>
      </x:c>
      <x:c r="H21" s="6" t="str">
        <x:v>OPC UA typed scalar; no application byte swapping</x:v>
      </x:c>
      <x:c r="I21" s="6" t="str">
        <x:v>Edge writes payload before RESULT_VALID; immutable until exact ACK</x:v>
      </x:c>
      <x:c r="J21" s="6" t="str">
        <x:v>PLC rejects publication and enters deterministic HOLD/FAULT</x:v>
      </x:c>
    </x:row>
    <x:row r="22" ht="54" customHeight="1">
      <x:c r="A22" s="6" t="str">
        <x:v>VISION_HEARTBEAT</x:v>
      </x:c>
      <x:c r="B22" s="6" t="str">
        <x:v>UDINT</x:v>
      </x:c>
      <x:c r="C22" s="6" t="str">
        <x:v>NVIDIA</x:v>
      </x:c>
      <x:c r="D22" s="6" t="str">
        <x:v>Monotonic heartbeat counter</x:v>
      </x:c>
      <x:c r="E22" s="6" t="str">
        <x:v>OPC UA ns=3;s=FC01.Vision.VISION_HEARTBEAT</x:v>
      </x:c>
      <x:c r="F22" s="6" t="str">
        <x:v>1000</x:v>
      </x:c>
      <x:c r="G22" s="6" t="str">
        <x:v>UInt32</x:v>
      </x:c>
      <x:c r="H22" s="6" t="str">
        <x:v>OPC UA typed scalar; no application byte swapping</x:v>
      </x:c>
      <x:c r="I22" s="6" t="str">
        <x:v>Edge writes payload before RESULT_VALID; immutable until exact ACK</x:v>
      </x:c>
      <x:c r="J22" s="6" t="str">
        <x:v>PLC rejects publication and enters deterministic HOLD/FAULT</x:v>
      </x:c>
    </x:row>
    <x:row r="23" ht="54" customHeight="1">
      <x:c r="A23" s="6" t="str">
        <x:v>VISION_RESULT_ACK_ID</x:v>
      </x:c>
      <x:c r="B23" s="6" t="str">
        <x:v>UDINT</x:v>
      </x:c>
      <x:c r="C23" s="6" t="str">
        <x:v>PLC</x:v>
      </x:c>
      <x:c r="D23" s="6" t="str">
        <x:v>Acknowledges the immutable published result; edge clears RESULT_VALID only on exact match</x:v>
      </x:c>
      <x:c r="E23" s="6" t="str">
        <x:v>OPC UA ns=3;s=FC01.Vision.VISION_RESULT_ACK_ID</x:v>
      </x:c>
      <x:c r="F23" s="6" t="str">
        <x:v>0</x:v>
      </x:c>
      <x:c r="G23" s="6" t="str">
        <x:v>UInt32</x:v>
      </x:c>
      <x:c r="H23" s="6" t="str">
        <x:v>OPC UA typed scalar; no application byte swapping</x:v>
      </x:c>
      <x:c r="I23" s="6" t="str">
        <x:v>PLC writes request/configuration; immutable while active</x:v>
      </x:c>
      <x:c r="J23" s="6" t="str">
        <x:v>Edge refuses request and remains not ready/faulted</x:v>
      </x:c>
    </x:row>
    <x:row r="24" ht="54" customHeight="1">
      <x:c r="A24" s="6" t="str">
        <x:v>VISION_SESSION_EPOCH</x:v>
      </x:c>
      <x:c r="B24" s="6" t="str">
        <x:v>UDINT</x:v>
      </x:c>
      <x:c r="C24" s="6" t="str">
        <x:v>PLC</x:v>
      </x:c>
      <x:c r="D24" s="6" t="str">
        <x:v>PLC startup/session correlation; reconnect must not replay a prior-session release</x:v>
      </x:c>
      <x:c r="E24" s="6" t="str">
        <x:v>OPC UA ns=3;s=FC01.Vision.VISION_SESSION_EPOCH</x:v>
      </x:c>
      <x:c r="F24" s="6" t="str">
        <x:v>0</x:v>
      </x:c>
      <x:c r="G24" s="6" t="str">
        <x:v>UInt32</x:v>
      </x:c>
      <x:c r="H24" s="6" t="str">
        <x:v>OPC UA typed scalar; no application byte swapping</x:v>
      </x:c>
      <x:c r="I24" s="6" t="str">
        <x:v>PLC writes request/configuration; immutable while active</x:v>
      </x:c>
      <x:c r="J24" s="6" t="str">
        <x:v>Edge refuses request and remains not ready/faulted</x:v>
      </x:c>
    </x:row>
    <x:row r="25" ht="54" customHeight="1">
      <x:c r="A25" s="6" t="str">
        <x:v>VISION_RESULT_SESSION_EPOCH</x:v>
      </x:c>
      <x:c r="B25" s="6" t="str">
        <x:v>UDINT</x:v>
      </x:c>
      <x:c r="C25" s="6" t="str">
        <x:v>NVIDIA</x:v>
      </x:c>
      <x:c r="D25" s="6" t="str">
        <x:v>Echoes the request session epoch in the immutable result; PLC rejects cross-session publication</x:v>
      </x:c>
      <x:c r="E25" s="6" t="str">
        <x:v>OPC UA ns=3;s=FC01.Vision.VISION_RESULT_SESSION_EPOCH</x:v>
      </x:c>
      <x:c r="F25" s="6" t="str">
        <x:v>0</x:v>
      </x:c>
      <x:c r="G25" s="6" t="str">
        <x:v>UInt32</x:v>
      </x:c>
      <x:c r="H25" s="6" t="str">
        <x:v>OPC UA typed scalar; no application byte swapping</x:v>
      </x:c>
      <x:c r="I25" s="6" t="str">
        <x:v>Edge writes payload before RESULT_VALID; immutable until exact ACK</x:v>
      </x:c>
      <x:c r="J25" s="6" t="str">
        <x:v>PLC rejects publication and enters deterministic HOLD/FAULT</x:v>
      </x:c>
    </x:row>
    <x:row r="26" ht="54" customHeight="1">
      <x:c r="A26" s="6" t="str">
        <x:v>VISION_DIAG_REASON</x:v>
      </x:c>
      <x:c r="B26" s="6" t="str">
        <x:v>UINT</x:v>
      </x:c>
      <x:c r="C26" s="6" t="str">
        <x:v>PLC</x:v>
      </x:c>
      <x:c r="D26" s="6" t="str">
        <x:v>First-out PLC interface diagnostic enumeration</x:v>
      </x:c>
      <x:c r="E26" s="6" t="str">
        <x:v>OPC UA ns=3;s=FC01.Vision.VISION_DIAG_REASON</x:v>
      </x:c>
      <x:c r="F26" s="6" t="str">
        <x:v>0</x:v>
      </x:c>
      <x:c r="G26" s="6" t="str">
        <x:v>UInt16</x:v>
      </x:c>
      <x:c r="H26" s="6" t="str">
        <x:v>OPC UA typed scalar; no application byte swapping</x:v>
      </x:c>
      <x:c r="I26" s="6" t="str">
        <x:v>PLC writes request/configuration; immutable while active</x:v>
      </x:c>
      <x:c r="J26" s="6" t="str">
        <x:v>Edge refuses request and remains not ready/faulted</x:v>
      </x:c>
    </x:row>
    <x:row r="27" ht="54" customHeight="1">
      <x:c r="A27" s="6" t="str">
        <x:v>VISION_MODEL_ID</x:v>
      </x:c>
      <x:c r="B27" s="6" t="str">
        <x:v>STRING[32]</x:v>
      </x:c>
      <x:c r="C27" s="6" t="str">
        <x:v>NVIDIA</x:v>
      </x:c>
      <x:c r="D27" s="6" t="str">
        <x:v>Controlled model identifier included in the atomic result</x:v>
      </x:c>
      <x:c r="E27" s="6" t="str">
        <x:v>OPC UA ns=3;s=FC01.Vision.VISION_MODEL_ID</x:v>
      </x:c>
      <x:c r="F27" s="6" t="str">
        <x:v>0</x:v>
      </x:c>
      <x:c r="G27" s="6" t="str">
        <x:v>String</x:v>
      </x:c>
      <x:c r="H27" s="6" t="str">
        <x:v>OPC UA typed scalar; no application byte swapping</x:v>
      </x:c>
      <x:c r="I27" s="6" t="str">
        <x:v>Edge writes payload before RESULT_VALID; immutable until exact ACK</x:v>
      </x:c>
      <x:c r="J27" s="6" t="str">
        <x:v>PLC rejects publication and enters deterministic HOLD/FAULT</x:v>
      </x:c>
    </x:row>
    <x:row r="28" ht="54" customHeight="1">
      <x:c r="A28" s="6" t="str">
        <x:v>VISION_MODEL_SHA256</x:v>
      </x:c>
      <x:c r="B28" s="6" t="str">
        <x:v>STRING[64]</x:v>
      </x:c>
      <x:c r="C28" s="6" t="str">
        <x:v>NVIDIA</x:v>
      </x:c>
      <x:c r="D28" s="6" t="str">
        <x:v>Exact controlled model SHA-256 included in the atomic result</x:v>
      </x:c>
      <x:c r="E28" s="6" t="str">
        <x:v>OPC UA ns=3;s=FC01.Vision.VISION_MODEL_SHA256</x:v>
      </x:c>
      <x:c r="F28" s="6" t="str">
        <x:v>0</x:v>
      </x:c>
      <x:c r="G28" s="6" t="str">
        <x:v>String</x:v>
      </x:c>
      <x:c r="H28" s="6" t="str">
        <x:v>OPC UA typed scalar; no application byte swapping</x:v>
      </x:c>
      <x:c r="I28" s="6" t="str">
        <x:v>Edge writes payload before RESULT_VALID; immutable until exact ACK</x:v>
      </x:c>
      <x:c r="J28" s="6" t="str">
        <x:v>PLC rejects publication and enters deterministic HOLD/FAULT</x:v>
      </x:c>
    </x:row>
    <x:row r="29" ht="54" customHeight="1">
      <x:c r="A29" s="6" t="str">
        <x:v>MAINTENANCE_MODE</x:v>
      </x:c>
      <x:c r="B29" s="6" t="str">
        <x:v>BOOL</x:v>
      </x:c>
      <x:c r="C29" s="6" t="str">
        <x:v>PLC</x:v>
      </x:c>
      <x:c r="D29" s="6" t="str">
        <x:v>Permission-scoped maintenance request; never quality acceptance or actuator bypass</x:v>
      </x:c>
      <x:c r="E29" s="6" t="str">
        <x:v>OPC UA ns=3;s=FC01.Vision.MAINTENANCE_MODE</x:v>
      </x:c>
      <x:c r="F29" s="6" t="str">
        <x:v>0</x:v>
      </x:c>
      <x:c r="G29" s="6" t="str">
        <x:v>Boolean</x:v>
      </x:c>
      <x:c r="H29" s="6" t="str">
        <x:v>OPC UA typed scalar; no application byte swapping</x:v>
      </x:c>
      <x:c r="I29" s="6" t="str">
        <x:v>PLC writes request/configuration; immutable while active</x:v>
      </x:c>
      <x:c r="J29" s="6" t="str">
        <x:v>Edge refuses request and remains not ready/faulted</x:v>
      </x:c>
    </x:row>
    <x:row r="30" ht="54" customHeight="1">
      <x:c r="A30" s="6" t="str">
        <x:v>EXPECTED_DATASET_ID</x:v>
      </x:c>
      <x:c r="B30" s="6" t="str">
        <x:v>STRING[32]</x:v>
      </x:c>
      <x:c r="C30" s="6" t="str">
        <x:v>PLC</x:v>
      </x:c>
      <x:c r="D30" s="6" t="str">
        <x:v>Approved validation/dataset baseline expected for the active recipe</x:v>
      </x:c>
      <x:c r="E30" s="6" t="str">
        <x:v>OPC UA ns=3;s=FC01.Vision.EXPECTED_DATASET_ID</x:v>
      </x:c>
      <x:c r="F30" s="6" t="str">
        <x:v>0</x:v>
      </x:c>
      <x:c r="G30" s="6" t="str">
        <x:v>String</x:v>
      </x:c>
      <x:c r="H30" s="6" t="str">
        <x:v>OPC UA typed scalar; no application byte swapping</x:v>
      </x:c>
      <x:c r="I30" s="6" t="str">
        <x:v>PLC writes request/configuration; immutable while active</x:v>
      </x:c>
      <x:c r="J30" s="6" t="str">
        <x:v>Edge refuses request and remains not ready/faulted</x:v>
      </x:c>
    </x:row>
    <x:row r="31" ht="54" customHeight="1">
      <x:c r="A31" s="6" t="str">
        <x:v>EXPECTED_CALIBRATION_ID</x:v>
      </x:c>
      <x:c r="B31" s="6" t="str">
        <x:v>STRING[32]</x:v>
      </x:c>
      <x:c r="C31" s="6" t="str">
        <x:v>PLC</x:v>
      </x:c>
      <x:c r="D31" s="6" t="str">
        <x:v>Approved optics/calibration identity expected for the active recipe</x:v>
      </x:c>
      <x:c r="E31" s="6" t="str">
        <x:v>OPC UA ns=3;s=FC01.Vision.EXPECTED_CALIBRATION_ID</x:v>
      </x:c>
      <x:c r="F31" s="6" t="str">
        <x:v>0</x:v>
      </x:c>
      <x:c r="G31" s="6" t="str">
        <x:v>String</x:v>
      </x:c>
      <x:c r="H31" s="6" t="str">
        <x:v>OPC UA typed scalar; no application byte swapping</x:v>
      </x:c>
      <x:c r="I31" s="6" t="str">
        <x:v>PLC writes request/configuration; immutable while active</x:v>
      </x:c>
      <x:c r="J31" s="6" t="str">
        <x:v>Edge refuses request and remains not ready/faulted</x:v>
      </x:c>
    </x:row>
    <x:row r="32" ht="54" customHeight="1">
      <x:c r="A32" s="6" t="str">
        <x:v>CAPTURE_ACK_ID</x:v>
      </x:c>
      <x:c r="B32" s="6" t="str">
        <x:v>UDINT</x:v>
      </x:c>
      <x:c r="C32" s="6" t="str">
        <x:v>NVIDIA</x:v>
      </x:c>
      <x:c r="D32" s="6" t="str">
        <x:v>Inspection ID whose image acquisition has been accepted</x:v>
      </x:c>
      <x:c r="E32" s="6" t="str">
        <x:v>OPC UA ns=3;s=FC01.Vision.CAPTURE_ACK_ID</x:v>
      </x:c>
      <x:c r="F32" s="6" t="str">
        <x:v>0</x:v>
      </x:c>
      <x:c r="G32" s="6" t="str">
        <x:v>UInt32</x:v>
      </x:c>
      <x:c r="H32" s="6" t="str">
        <x:v>OPC UA typed scalar; no application byte swapping</x:v>
      </x:c>
      <x:c r="I32" s="6" t="str">
        <x:v>Edge writes payload before RESULT_VALID; immutable until exact ACK</x:v>
      </x:c>
      <x:c r="J32" s="6" t="str">
        <x:v>PLC rejects publication and enters deterministic HOLD/FAULT</x:v>
      </x:c>
    </x:row>
    <x:row r="33" ht="54" customHeight="1">
      <x:c r="A33" s="6" t="str">
        <x:v>PROCESSING_STATE</x:v>
      </x:c>
      <x:c r="B33" s="6" t="str">
        <x:v>USINT</x:v>
      </x:c>
      <x:c r="C33" s="6" t="str">
        <x:v>NVIDIA</x:v>
      </x:c>
      <x:c r="D33" s="6" t="str">
        <x:v>0 not ready; 1 ready; 2 capture acknowledged; 3 processing; 4 complete; 5 fault</x:v>
      </x:c>
      <x:c r="E33" s="6" t="str">
        <x:v>OPC UA ns=3;s=FC01.Vision.PROCESSING_STATE</x:v>
      </x:c>
      <x:c r="F33" s="6" t="str">
        <x:v>0</x:v>
      </x:c>
      <x:c r="G33" s="6" t="str">
        <x:v>Byte</x:v>
      </x:c>
      <x:c r="H33" s="6" t="str">
        <x:v>OPC UA typed scalar; no application byte swapping</x:v>
      </x:c>
      <x:c r="I33" s="6" t="str">
        <x:v>Edge writes payload before RESULT_VALID; immutable until exact ACK</x:v>
      </x:c>
      <x:c r="J33" s="6" t="str">
        <x:v>PLC rejects publication and enters deterministic HOLD/FAULT</x:v>
      </x:c>
    </x:row>
    <x:row r="34" ht="54" customHeight="1">
      <x:c r="A34" s="6" t="str">
        <x:v>SERVICE_HEALTHY</x:v>
      </x:c>
      <x:c r="B34" s="6" t="str">
        <x:v>BOOL</x:v>
      </x:c>
      <x:c r="C34" s="6" t="str">
        <x:v>NVIDIA</x:v>
      </x:c>
      <x:c r="D34" s="6" t="str">
        <x:v>Edge process, configuration, storage and watchdog health</x:v>
      </x:c>
      <x:c r="E34" s="6" t="str">
        <x:v>OPC UA ns=3;s=FC01.Vision.SERVICE_HEALTHY</x:v>
      </x:c>
      <x:c r="F34" s="6" t="str">
        <x:v>0</x:v>
      </x:c>
      <x:c r="G34" s="6" t="str">
        <x:v>Boolean</x:v>
      </x:c>
      <x:c r="H34" s="6" t="str">
        <x:v>OPC UA typed scalar; no application byte swapping</x:v>
      </x:c>
      <x:c r="I34" s="6" t="str">
        <x:v>Edge writes payload before RESULT_VALID; immutable until exact ACK</x:v>
      </x:c>
      <x:c r="J34" s="6" t="str">
        <x:v>PLC rejects publication and enters deterministic HOLD/FAULT</x:v>
      </x:c>
    </x:row>
    <x:row r="35" ht="54" customHeight="1">
      <x:c r="A35" s="6" t="str">
        <x:v>CAMERA_HEALTHY</x:v>
      </x:c>
      <x:c r="B35" s="6" t="str">
        <x:v>BOOL</x:v>
      </x:c>
      <x:c r="C35" s="6" t="str">
        <x:v>NVIDIA</x:v>
      </x:c>
      <x:c r="D35" s="6" t="str">
        <x:v>Camera connection/acquisition health; not optical-quality proof</x:v>
      </x:c>
      <x:c r="E35" s="6" t="str">
        <x:v>OPC UA ns=3;s=FC01.Vision.CAMERA_HEALTHY</x:v>
      </x:c>
      <x:c r="F35" s="6" t="str">
        <x:v>0</x:v>
      </x:c>
      <x:c r="G35" s="6" t="str">
        <x:v>Boolean</x:v>
      </x:c>
      <x:c r="H35" s="6" t="str">
        <x:v>OPC UA typed scalar; no application byte swapping</x:v>
      </x:c>
      <x:c r="I35" s="6" t="str">
        <x:v>Edge writes payload before RESULT_VALID; immutable until exact ACK</x:v>
      </x:c>
      <x:c r="J35" s="6" t="str">
        <x:v>PLC rejects publication and enters deterministic HOLD/FAULT</x:v>
      </x:c>
    </x:row>
    <x:row r="36" ht="54" customHeight="1">
      <x:c r="A36" s="6" t="str">
        <x:v>MODEL_LOADED</x:v>
      </x:c>
      <x:c r="B36" s="6" t="str">
        <x:v>BOOL</x:v>
      </x:c>
      <x:c r="C36" s="6" t="str">
        <x:v>NVIDIA</x:v>
      </x:c>
      <x:c r="D36" s="6" t="str">
        <x:v>Configured model adapter loaded with approved identity</x:v>
      </x:c>
      <x:c r="E36" s="6" t="str">
        <x:v>OPC UA ns=3;s=FC01.Vision.MODEL_LOADED</x:v>
      </x:c>
      <x:c r="F36" s="6" t="str">
        <x:v>0</x:v>
      </x:c>
      <x:c r="G36" s="6" t="str">
        <x:v>Boolean</x:v>
      </x:c>
      <x:c r="H36" s="6" t="str">
        <x:v>OPC UA typed scalar; no application byte swapping</x:v>
      </x:c>
      <x:c r="I36" s="6" t="str">
        <x:v>Edge writes payload before RESULT_VALID; immutable until exact ACK</x:v>
      </x:c>
      <x:c r="J36" s="6" t="str">
        <x:v>PLC rejects publication and enters deterministic HOLD/FAULT</x:v>
      </x:c>
    </x:row>
    <x:row r="37" ht="54" customHeight="1">
      <x:c r="A37" s="6" t="str">
        <x:v>MAINTENANCE_ACTIVE</x:v>
      </x:c>
      <x:c r="B37" s="6" t="str">
        <x:v>BOOL</x:v>
      </x:c>
      <x:c r="C37" s="6" t="str">
        <x:v>NVIDIA</x:v>
      </x:c>
      <x:c r="D37" s="6" t="str">
        <x:v>Edge is in controlled maintenance state and cannot publish production PASS</x:v>
      </x:c>
      <x:c r="E37" s="6" t="str">
        <x:v>OPC UA ns=3;s=FC01.Vision.MAINTENANCE_ACTIVE</x:v>
      </x:c>
      <x:c r="F37" s="6" t="str">
        <x:v>0</x:v>
      </x:c>
      <x:c r="G37" s="6" t="str">
        <x:v>Boolean</x:v>
      </x:c>
      <x:c r="H37" s="6" t="str">
        <x:v>OPC UA typed scalar; no application byte swapping</x:v>
      </x:c>
      <x:c r="I37" s="6" t="str">
        <x:v>Edge writes payload before RESULT_VALID; immutable until exact ACK</x:v>
      </x:c>
      <x:c r="J37" s="6" t="str">
        <x:v>PLC rejects publication and enters deterministic HOLD/FAULT</x:v>
      </x:c>
    </x:row>
    <x:row r="38" ht="54" customHeight="1">
      <x:c r="A38" s="6" t="str">
        <x:v>RESULT_DISPOSITION</x:v>
      </x:c>
      <x:c r="B38" s="6" t="str">
        <x:v>USINT</x:v>
      </x:c>
      <x:c r="C38" s="6" t="str">
        <x:v>NVIDIA</x:v>
      </x:c>
      <x:c r="D38" s="6" t="str">
        <x:v>0 none; 1 pass; 2 hold; 3 fail; 4 fault</x:v>
      </x:c>
      <x:c r="E38" s="6" t="str">
        <x:v>OPC UA ns=3;s=FC01.Vision.RESULT_DISPOSITION</x:v>
      </x:c>
      <x:c r="F38" s="6" t="str">
        <x:v>0</x:v>
      </x:c>
      <x:c r="G38" s="6" t="str">
        <x:v>Byte</x:v>
      </x:c>
      <x:c r="H38" s="6" t="str">
        <x:v>OPC UA typed scalar; no application byte swapping</x:v>
      </x:c>
      <x:c r="I38" s="6" t="str">
        <x:v>Edge writes payload before RESULT_VALID; immutable until exact ACK</x:v>
      </x:c>
      <x:c r="J38" s="6" t="str">
        <x:v>PLC rejects publication and enters deterministic HOLD/FAULT</x:v>
      </x:c>
    </x:row>
    <x:row r="39" ht="54" customHeight="1">
      <x:c r="A39" s="6" t="str">
        <x:v>REASON_BITS</x:v>
      </x:c>
      <x:c r="B39" s="6" t="str">
        <x:v>DWORD</x:v>
      </x:c>
      <x:c r="C39" s="6" t="str">
        <x:v>NVIDIA</x:v>
      </x:c>
      <x:c r="D39" s="6" t="str">
        <x:v>Structured quality/fault reason mask; PASS requires zero</x:v>
      </x:c>
      <x:c r="E39" s="6" t="str">
        <x:v>OPC UA ns=3;s=FC01.Vision.REASON_BITS</x:v>
      </x:c>
      <x:c r="F39" s="6" t="str">
        <x:v>0</x:v>
      </x:c>
      <x:c r="G39" s="6" t="str">
        <x:v>UInt32</x:v>
      </x:c>
      <x:c r="H39" s="6" t="str">
        <x:v>OPC UA typed scalar; no application byte swapping</x:v>
      </x:c>
      <x:c r="I39" s="6" t="str">
        <x:v>Edge writes payload before RESULT_VALID; immutable until exact ACK</x:v>
      </x:c>
      <x:c r="J39" s="6" t="str">
        <x:v>PLC rejects publication and enters deterministic HOLD/FAULT</x:v>
      </x:c>
    </x:row>
    <x:row r="40" ht="54" customHeight="1">
      <x:c r="A40" s="6" t="str">
        <x:v>CONFIDENCE</x:v>
      </x:c>
      <x:c r="B40" s="6" t="str">
        <x:v>REAL</x:v>
      </x:c>
      <x:c r="C40" s="6" t="str">
        <x:v>NVIDIA</x:v>
      </x:c>
      <x:c r="D40" s="6" t="str">
        <x:v>Normalized quality confidence; threshold remains PLC/recipe controlled</x:v>
      </x:c>
      <x:c r="E40" s="6" t="str">
        <x:v>OPC UA ns=3;s=FC01.Vision.CONFIDENCE</x:v>
      </x:c>
      <x:c r="F40" s="6" t="str">
        <x:v>0</x:v>
      </x:c>
      <x:c r="G40" s="6" t="str">
        <x:v>Float</x:v>
      </x:c>
      <x:c r="H40" s="6" t="str">
        <x:v>OPC UA typed scalar; no application byte swapping</x:v>
      </x:c>
      <x:c r="I40" s="6" t="str">
        <x:v>Edge writes payload before RESULT_VALID; immutable until exact ACK</x:v>
      </x:c>
      <x:c r="J40" s="6" t="str">
        <x:v>PLC rejects publication and enters deterministic HOLD/FAULT</x:v>
      </x:c>
    </x:row>
    <x:row r="41" ht="54" customHeight="1">
      <x:c r="A41" s="6" t="str">
        <x:v>DATASET_ID</x:v>
      </x:c>
      <x:c r="B41" s="6" t="str">
        <x:v>STRING[32]</x:v>
      </x:c>
      <x:c r="C41" s="6" t="str">
        <x:v>NVIDIA</x:v>
      </x:c>
      <x:c r="D41" s="6" t="str">
        <x:v>Validation/dataset baseline identity bound to the result</x:v>
      </x:c>
      <x:c r="E41" s="6" t="str">
        <x:v>OPC UA ns=3;s=FC01.Vision.DATASET_ID</x:v>
      </x:c>
      <x:c r="F41" s="6" t="str">
        <x:v>0</x:v>
      </x:c>
      <x:c r="G41" s="6" t="str">
        <x:v>String</x:v>
      </x:c>
      <x:c r="H41" s="6" t="str">
        <x:v>OPC UA typed scalar; no application byte swapping</x:v>
      </x:c>
      <x:c r="I41" s="6" t="str">
        <x:v>Edge writes payload before RESULT_VALID; immutable until exact ACK</x:v>
      </x:c>
      <x:c r="J41" s="6" t="str">
        <x:v>PLC rejects publication and enters deterministic HOLD/FAULT</x:v>
      </x:c>
    </x:row>
    <x:row r="42" ht="54" customHeight="1">
      <x:c r="A42" s="6" t="str">
        <x:v>CALIBRATION_ID</x:v>
      </x:c>
      <x:c r="B42" s="6" t="str">
        <x:v>STRING[32]</x:v>
      </x:c>
      <x:c r="C42" s="6" t="str">
        <x:v>NVIDIA</x:v>
      </x:c>
      <x:c r="D42" s="6" t="str">
        <x:v>Optics/calibration identity bound to the result</x:v>
      </x:c>
      <x:c r="E42" s="6" t="str">
        <x:v>OPC UA ns=3;s=FC01.Vision.CALIBRATION_ID</x:v>
      </x:c>
      <x:c r="F42" s="6" t="str">
        <x:v>0</x:v>
      </x:c>
      <x:c r="G42" s="6" t="str">
        <x:v>String</x:v>
      </x:c>
      <x:c r="H42" s="6" t="str">
        <x:v>OPC UA typed scalar; no application byte swapping</x:v>
      </x:c>
      <x:c r="I42" s="6" t="str">
        <x:v>Edge writes payload before RESULT_VALID; immutable until exact ACK</x:v>
      </x:c>
      <x:c r="J42" s="6" t="str">
        <x:v>PLC rejects publication and enters deterministic HOLD/FAULT</x:v>
      </x:c>
    </x:row>
    <x:row r="43" ht="54" customHeight="1">
      <x:c r="A43" s="6" t="str">
        <x:v>CAPTURE_TIMESTAMP_UTC_MS</x:v>
      </x:c>
      <x:c r="B43" s="6" t="str">
        <x:v>ULINT</x:v>
      </x:c>
      <x:c r="C43" s="6" t="str">
        <x:v>NVIDIA</x:v>
      </x:c>
      <x:c r="D43" s="6" t="str">
        <x:v>Diagnostic UTC image-acquisition timestamp in milliseconds</x:v>
      </x:c>
      <x:c r="E43" s="6" t="str">
        <x:v>OPC UA ns=3;s=FC01.Vision.CAPTURE_TIMESTAMP_UTC_MS</x:v>
      </x:c>
      <x:c r="F43" s="6" t="str">
        <x:v>0</x:v>
      </x:c>
      <x:c r="G43" s="6" t="str">
        <x:v>UInt64</x:v>
      </x:c>
      <x:c r="H43" s="6" t="str">
        <x:v>OPC UA typed scalar; no application byte swapping</x:v>
      </x:c>
      <x:c r="I43" s="6" t="str">
        <x:v>Edge writes payload before RESULT_VALID; immutable until exact ACK</x:v>
      </x:c>
      <x:c r="J43" s="6" t="str">
        <x:v>PLC rejects publication and enters deterministic HOLD/FAULT</x:v>
      </x:c>
    </x:row>
    <x:row r="44" ht="54" customHeight="1">
      <x:c r="A44" s="6" t="str">
        <x:v>INFERENCE_TIMESTAMP_UTC_MS</x:v>
      </x:c>
      <x:c r="B44" s="6" t="str">
        <x:v>ULINT</x:v>
      </x:c>
      <x:c r="C44" s="6" t="str">
        <x:v>NVIDIA</x:v>
      </x:c>
      <x:c r="D44" s="6" t="str">
        <x:v>Diagnostic UTC inference-completion timestamp in milliseconds</x:v>
      </x:c>
      <x:c r="E44" s="6" t="str">
        <x:v>OPC UA ns=3;s=FC01.Vision.INFERENCE_TIMESTAMP_UTC_MS</x:v>
      </x:c>
      <x:c r="F44" s="6" t="str">
        <x:v>0</x:v>
      </x:c>
      <x:c r="G44" s="6" t="str">
        <x:v>UInt64</x:v>
      </x:c>
      <x:c r="H44" s="6" t="str">
        <x:v>OPC UA typed scalar; no application byte swapping</x:v>
      </x:c>
      <x:c r="I44" s="6" t="str">
        <x:v>Edge writes payload before RESULT_VALID; immutable until exact ACK</x:v>
      </x:c>
      <x:c r="J44" s="6" t="str">
        <x:v>PLC rejects publication and enters deterministic HOLD/FAULT</x:v>
      </x:c>
    </x:row>
    <x:row r="45" ht="54" customHeight="1">
      <x:c r="A45" s="6" t="str">
        <x:v>PUBLICATION_TIMESTAMP_UTC_MS</x:v>
      </x:c>
      <x:c r="B45" s="6" t="str">
        <x:v>ULINT</x:v>
      </x:c>
      <x:c r="C45" s="6" t="str">
        <x:v>NVIDIA</x:v>
      </x:c>
      <x:c r="D45" s="6" t="str">
        <x:v>Diagnostic UTC immutable-publication timestamp in milliseconds</x:v>
      </x:c>
      <x:c r="E45" s="6" t="str">
        <x:v>OPC UA ns=3;s=FC01.Vision.PUBLICATION_TIMESTAMP_UTC_MS</x:v>
      </x:c>
      <x:c r="F45" s="6" t="str">
        <x:v>0</x:v>
      </x:c>
      <x:c r="G45" s="6" t="str">
        <x:v>UInt64</x:v>
      </x:c>
      <x:c r="H45" s="6" t="str">
        <x:v>OPC UA typed scalar; no application byte swapping</x:v>
      </x:c>
      <x:c r="I45" s="6" t="str">
        <x:v>Edge writes payload before RESULT_VALID; immutable until exact ACK</x:v>
      </x:c>
      <x:c r="J45" s="6" t="str">
        <x:v>PLC rejects publication and enters deterministic HOLD/FAULT</x:v>
      </x:c>
    </x:row>
    <x:row r="46" ht="54" customHeight="1">
      <x:c r="A46" s="6" t="str">
        <x:v>PROCESSING_TIME_MS</x:v>
      </x:c>
      <x:c r="B46" s="6" t="str">
        <x:v>UDINT</x:v>
      </x:c>
      <x:c r="C46" s="6" t="str">
        <x:v>NVIDIA</x:v>
      </x:c>
      <x:c r="D46" s="6" t="str">
        <x:v>Measured capture-to-publication processing time</x:v>
      </x:c>
      <x:c r="E46" s="6" t="str">
        <x:v>OPC UA ns=3;s=FC01.Vision.PROCESSING_TIME_MS</x:v>
      </x:c>
      <x:c r="F46" s="6" t="str">
        <x:v>1000</x:v>
      </x:c>
      <x:c r="G46" s="6" t="str">
        <x:v>UInt32</x:v>
      </x:c>
      <x:c r="H46" s="6" t="str">
        <x:v>OPC UA typed scalar; no application byte swapping</x:v>
      </x:c>
      <x:c r="I46" s="6" t="str">
        <x:v>Edge writes payload before RESULT_VALID; immutable until exact ACK</x:v>
      </x:c>
      <x:c r="J46" s="6" t="str">
        <x:v>PLC rejects publication and enters deterministic HOLD/FAULT</x:v>
      </x:c>
    </x:row>
    <x:row r="47" ht="54" customHeight="1">
      <x:c r="A47" s="6" t="str">
        <x:v>DIAGNOSTIC_CODE</x:v>
      </x:c>
      <x:c r="B47" s="6" t="str">
        <x:v>UDINT</x:v>
      </x:c>
      <x:c r="C47" s="6" t="str">
        <x:v>NVIDIA</x:v>
      </x:c>
      <x:c r="D47" s="6" t="str">
        <x:v>Edge first-out diagnostic code independent of PLC VISION_DIAG_REASON</x:v>
      </x:c>
      <x:c r="E47" s="6" t="str">
        <x:v>OPC UA ns=3;s=FC01.Vision.DIAGNOSTIC_CODE</x:v>
      </x:c>
      <x:c r="F47" s="6" t="str">
        <x:v>0</x:v>
      </x:c>
      <x:c r="G47" s="6" t="str">
        <x:v>UInt32</x:v>
      </x:c>
      <x:c r="H47" s="6" t="str">
        <x:v>OPC UA typed scalar; no application byte swapping</x:v>
      </x:c>
      <x:c r="I47" s="6" t="str">
        <x:v>Edge writes payload before RESULT_VALID; immutable until exact ACK</x:v>
      </x:c>
      <x:c r="J47" s="6" t="str">
        <x:v>PLC rejects publication and enters deterministic HOLD/FAULT</x:v>
      </x:c>
    </x:row>
    <x:row r="48" ht="54" customHeight="1">
      <x:c r="A48" s="6" t="str">
        <x:v>QUEUE_DEPTH</x:v>
      </x:c>
      <x:c r="B48" s="6" t="str">
        <x:v>UINT</x:v>
      </x:c>
      <x:c r="C48" s="6" t="str">
        <x:v>NVIDIA</x:v>
      </x:c>
      <x:c r="D48" s="6" t="str">
        <x:v>Bounded inspection queue depth; saturation fails closed</x:v>
      </x:c>
      <x:c r="E48" s="6" t="str">
        <x:v>OPC UA ns=3;s=FC01.Vision.QUEUE_DEPTH</x:v>
      </x:c>
      <x:c r="F48" s="6" t="str">
        <x:v>0</x:v>
      </x:c>
      <x:c r="G48" s="6" t="str">
        <x:v>UInt16</x:v>
      </x:c>
      <x:c r="H48" s="6" t="str">
        <x:v>OPC UA typed scalar; no application byte swapping</x:v>
      </x:c>
      <x:c r="I48" s="6" t="str">
        <x:v>Edge writes payload before RESULT_VALID; immutable until exact ACK</x:v>
      </x:c>
      <x:c r="J48" s="6" t="str">
        <x:v>PLC rejects publication and enters deterministic HOLD/FAULT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33.75" hidden="0" customWidth="1"/>
    <x:col min="3" max="3" width="19.3799991607666" hidden="0" customWidth="1"/>
    <x:col min="4" max="4" width="22.5" hidden="0" customWidth="1"/>
    <x:col min="5" max="5" width="19.3799991607666" hidden="0" customWidth="1"/>
    <x:col min="6" max="6" width="10.630000114440918" hidden="0" customWidth="1"/>
    <x:col min="7" max="7" width="33.75" hidden="0" customWidth="1"/>
  </x:cols>
  <x:sheetData>
    <x:row r="1" ht="31.5" customHeight="1">
      <x:c r="A1" s="12" t="str">
        <x:v>requirement_id</x:v>
      </x:c>
      <x:c r="B1" s="12" t="str">
        <x:v>requirement</x:v>
      </x:c>
      <x:c r="C1" s="12" t="str">
        <x:v>verification</x:v>
      </x:c>
      <x:c r="D1" s="12" t="str">
        <x:v>status</x:v>
      </x:c>
      <x:c r="E1" s="12" t="str">
        <x:v>design_artifact</x:v>
      </x:c>
      <x:c r="F1" s="12" t="str">
        <x:v>test_ids</x:v>
      </x:c>
      <x:c r="G1" s="12" t="str">
        <x:v>evidence</x:v>
      </x:c>
    </x:row>
    <x:row r="2" ht="54" customHeight="1">
      <x:c r="A2" s="6" t="str">
        <x:v>SYS-026</x:v>
      </x:c>
      <x:c r="B2" s="6" t="str">
        <x:v>Keep NVIDIA non-safety and unable to command actuators or bypass PLC interlocks</x:v>
      </x:c>
      <x:c r="C2" s="6" t="str">
        <x:v>Review plus deterministic source tests and structured behavioral fault injection where applicable</x:v>
      </x:c>
      <x:c r="D2" s="6" t="str">
        <x:v>Implemented locally where possible; external native/data/hardware acceptance remains explicit</x:v>
      </x:c>
      <x:c r="E2" s="6" t="str">
        <x:v>02_system_architecture/revision_f_vision_integration_architecture.md</x:v>
      </x:c>
      <x:c r="F2" s="6" t="str">
        <x:v>VFS-002; VFS-004</x:v>
      </x:c>
      <x:c r="G2" s="6" t="str">
        <x:v>Revision-F controlled source, schedule, test and review records</x:v>
      </x:c>
    </x:row>
    <x:row r="3" ht="54" customHeight="1">
      <x:c r="A3" s="6" t="str">
        <x:v>SYS-027</x:v>
      </x:c>
      <x:c r="B3" s="6" t="str">
        <x:v>Support camera, recorded-directory and explicitly synthetic non-production acquisition adapters</x:v>
      </x:c>
      <x:c r="C3" s="6" t="str">
        <x:v>Review plus deterministic source tests and structured behavioral fault injection where applicable</x:v>
      </x:c>
      <x:c r="D3" s="6" t="str">
        <x:v>Implemented locally where possible; external native/data/hardware acceptance remains explicit</x:v>
      </x:c>
      <x:c r="E3" s="6" t="str">
        <x:v>07_nvidia_vision/edge_service</x:v>
      </x:c>
      <x:c r="F3" s="6" t="str">
        <x:v>EDGE-PIPELINE</x:v>
      </x:c>
      <x:c r="G3" s="6" t="str">
        <x:v>Revision-F controlled source, schedule, test and review records</x:v>
      </x:c>
    </x:row>
    <x:row r="4" ht="54" customHeight="1">
      <x:c r="A4" s="6" t="str">
        <x:v>SYS-028</x:v>
      </x:c>
      <x:c r="B4" s="6" t="str">
        <x:v>Validate versioned configuration schema, reject unknown keys and publish configuration hashes</x:v>
      </x:c>
      <x:c r="C4" s="6" t="str">
        <x:v>Review plus deterministic source tests and structured behavioral fault injection where applicable</x:v>
      </x:c>
      <x:c r="D4" s="6" t="str">
        <x:v>Implemented locally where possible; external native/data/hardware acceptance remains explicit</x:v>
      </x:c>
      <x:c r="E4" s="6" t="str">
        <x:v>07_nvidia_vision/edge_service</x:v>
      </x:c>
      <x:c r="F4" s="6" t="str">
        <x:v>EDGE-CONFIG</x:v>
      </x:c>
      <x:c r="G4" s="6" t="str">
        <x:v>Revision-F controlled source, schedule, test and review records</x:v>
      </x:c>
    </x:row>
    <x:row r="5" ht="54" customHeight="1">
      <x:c r="A5" s="6" t="str">
        <x:v>SYS-029</x:v>
      </x:c>
      <x:c r="B5" s="6" t="str">
        <x:v>Correlate capture acknowledgement and processing state to the immutable inspection identity</x:v>
      </x:c>
      <x:c r="C5" s="6" t="str">
        <x:v>Review plus deterministic source tests and structured behavioral fault injection where applicable</x:v>
      </x:c>
      <x:c r="D5" s="6" t="str">
        <x:v>Implemented locally where possible; external native/data/hardware acceptance remains explicit</x:v>
      </x:c>
      <x:c r="E5" s="6" t="str">
        <x:v>04_controls_siemens/scl/FB_VisionInterface.scl; 07_nvidia_vision/edge_service</x:v>
      </x:c>
      <x:c r="F5" s="6" t="str">
        <x:v>EDGE-V3; SCL-V3</x:v>
      </x:c>
      <x:c r="G5" s="6" t="str">
        <x:v>Revision-F controlled source, schedule, test and review records</x:v>
      </x:c>
    </x:row>
    <x:row r="6" ht="54" customHeight="1">
      <x:c r="A6" s="6" t="str">
        <x:v>SYS-030</x:v>
      </x:c>
      <x:c r="B6" s="6" t="str">
        <x:v>Publish explicit PASS HOLD FAIL or FAULT disposition with structured reason bits</x:v>
      </x:c>
      <x:c r="C6" s="6" t="str">
        <x:v>Review plus deterministic source tests and structured behavioral fault injection where applicable</x:v>
      </x:c>
      <x:c r="D6" s="6" t="str">
        <x:v>Implemented locally where possible; external native/data/hardware acceptance remains explicit</x:v>
      </x:c>
      <x:c r="E6" s="6" t="str">
        <x:v>02_system_architecture/interface_control_document.md</x:v>
      </x:c>
      <x:c r="F6" s="6" t="str">
        <x:v>EDGE-V3; SCL-V3</x:v>
      </x:c>
      <x:c r="G6" s="6" t="str">
        <x:v>Revision-F controlled source, schedule, test and review records</x:v>
      </x:c>
    </x:row>
    <x:row r="7" ht="54" customHeight="1">
      <x:c r="A7" s="6" t="str">
        <x:v>SYS-031</x:v>
      </x:c>
      <x:c r="B7" s="6" t="str">
        <x:v>Bind model, dataset and calibration identities to each accepted result</x:v>
      </x:c>
      <x:c r="C7" s="6" t="str">
        <x:v>Review plus deterministic source tests and structured behavioral fault injection where applicable</x:v>
      </x:c>
      <x:c r="D7" s="6" t="str">
        <x:v>Implemented locally where possible; external native/data/hardware acceptance remains explicit</x:v>
      </x:c>
      <x:c r="E7" s="6" t="str">
        <x:v>07_nvidia_vision/plc_ai_interface_v3.md</x:v>
      </x:c>
      <x:c r="F7" s="6" t="str">
        <x:v>EDGE-V3</x:v>
      </x:c>
      <x:c r="G7" s="6" t="str">
        <x:v>Revision-F controlled source, schedule, test and review records</x:v>
      </x:c>
    </x:row>
    <x:row r="8" ht="54" customHeight="1">
      <x:c r="A8" s="6" t="str">
        <x:v>SYS-032</x:v>
      </x:c>
      <x:c r="B8" s="6" t="str">
        <x:v>Provide diagnostic UTC timestamps while retaining PLC monotonic timing as acceptance authority</x:v>
      </x:c>
      <x:c r="C8" s="6" t="str">
        <x:v>Review plus deterministic source tests and structured behavioral fault injection where applicable</x:v>
      </x:c>
      <x:c r="D8" s="6" t="str">
        <x:v>Implemented locally where possible; external native/data/hardware acceptance remains explicit</x:v>
      </x:c>
      <x:c r="E8" s="6" t="str">
        <x:v>02_system_architecture/revision_f_vision_integration_architecture.md</x:v>
      </x:c>
      <x:c r="F8" s="6" t="str">
        <x:v>EDGE-V3; VFS-020</x:v>
      </x:c>
      <x:c r="G8" s="6" t="str">
        <x:v>Revision-F controlled source, schedule, test and review records</x:v>
      </x:c>
    </x:row>
    <x:row r="9" ht="54" customHeight="1">
      <x:c r="A9" s="6" t="str">
        <x:v>SYS-033</x:v>
      </x:c>
      <x:c r="B9" s="6" t="str">
        <x:v>Expose service, camera, model, maintenance, queue and diagnostic health</x:v>
      </x:c>
      <x:c r="C9" s="6" t="str">
        <x:v>Review plus deterministic source tests and structured behavioral fault injection where applicable</x:v>
      </x:c>
      <x:c r="D9" s="6" t="str">
        <x:v>Implemented locally where possible; external native/data/hardware acceptance remains explicit</x:v>
      </x:c>
      <x:c r="E9" s="6" t="str">
        <x:v>05_hmi; 07_nvidia_vision/plc_ai_node_map.csv</x:v>
      </x:c>
      <x:c r="F9" s="6" t="str">
        <x:v>EDGE-V3; HMI-V3</x:v>
      </x:c>
      <x:c r="G9" s="6" t="str">
        <x:v>Revision-F controlled source, schedule, test and review records</x:v>
      </x:c>
    </x:row>
    <x:row r="10" ht="54" customHeight="1">
      <x:c r="A10" s="6" t="str">
        <x:v>SYS-034</x:v>
      </x:c>
      <x:c r="B10" s="6" t="str">
        <x:v>Fail closed when durable inspection audit records cannot be written</x:v>
      </x:c>
      <x:c r="C10" s="6" t="str">
        <x:v>Review plus deterministic source tests and structured behavioral fault injection where applicable</x:v>
      </x:c>
      <x:c r="D10" s="6" t="str">
        <x:v>Implemented locally where possible; external native/data/hardware acceptance remains explicit</x:v>
      </x:c>
      <x:c r="E10" s="6" t="str">
        <x:v>07_nvidia_vision/edge_service</x:v>
      </x:c>
      <x:c r="F10" s="6" t="str">
        <x:v>EDGE-AUDIT; VFS-021</x:v>
      </x:c>
      <x:c r="G10" s="6" t="str">
        <x:v>Revision-F controlled source, schedule, test and review records</x:v>
      </x:c>
    </x:row>
    <x:row r="11" ht="54" customHeight="1">
      <x:c r="A11" s="6" t="str">
        <x:v>SYS-035</x:v>
      </x:c>
      <x:c r="B11" s="6" t="str">
        <x:v>Version and hash dataset records and split by production lot to prevent leakage</x:v>
      </x:c>
      <x:c r="C11" s="6" t="str">
        <x:v>Review plus deterministic source tests and structured behavioral fault injection where applicable</x:v>
      </x:c>
      <x:c r="D11" s="6" t="str">
        <x:v>Implemented locally where possible; external native/data/hardware acceptance remains explicit</x:v>
      </x:c>
      <x:c r="E11" s="6" t="str">
        <x:v>07_nvidia_vision</x:v>
      </x:c>
      <x:c r="F11" s="6" t="str">
        <x:v>DATASET-TOOLS</x:v>
      </x:c>
      <x:c r="G11" s="6" t="str">
        <x:v>Revision-F controlled source, schedule, test and review records</x:v>
      </x:c>
    </x:row>
    <x:row r="12" ht="54" customHeight="1">
      <x:c r="A12" s="6" t="str">
        <x:v>SYS-036</x:v>
      </x:c>
      <x:c r="B12" s="6" t="str">
        <x:v>Provide reproducible evaluation, FAR/FRR, threshold and latency tooling without fabricated results</x:v>
      </x:c>
      <x:c r="C12" s="6" t="str">
        <x:v>Review plus deterministic source tests and structured behavioral fault injection where applicable</x:v>
      </x:c>
      <x:c r="D12" s="6" t="str">
        <x:v>Implemented locally where possible; external native/data/hardware acceptance remains explicit</x:v>
      </x:c>
      <x:c r="E12" s="6" t="str">
        <x:v>07_nvidia_vision</x:v>
      </x:c>
      <x:c r="F12" s="6" t="str">
        <x:v>EVAL-TOOLS</x:v>
      </x:c>
      <x:c r="G12" s="6" t="str">
        <x:v>Revision-F controlled source, schedule, test and review records</x:v>
      </x:c>
    </x:row>
    <x:row r="13" ht="54" customHeight="1">
      <x:c r="A13" s="6" t="str">
        <x:v>SYS-037</x:v>
      </x:c>
      <x:c r="B13" s="6" t="str">
        <x:v>Define optical resolution, exposure, motion-blur, glare, focus and calibration acceptance methods</x:v>
      </x:c>
      <x:c r="C13" s="6" t="str">
        <x:v>Review plus deterministic source tests and structured behavioral fault injection where applicable</x:v>
      </x:c>
      <x:c r="D13" s="6" t="str">
        <x:v>Implemented locally where possible; external native/data/hardware acceptance remains explicit</x:v>
      </x:c>
      <x:c r="E13" s="6" t="str">
        <x:v>07_nvidia_vision; 12_testing/AI_commissioning_procedure.md</x:v>
      </x:c>
      <x:c r="F13" s="6" t="str">
        <x:v>DOC-LINK</x:v>
      </x:c>
      <x:c r="G13" s="6" t="str">
        <x:v>Revision-F controlled source, schedule, test and review records</x:v>
      </x:c>
    </x:row>
    <x:row r="14" ht="54" customHeight="1">
      <x:c r="A14" s="6" t="str">
        <x:v>SYS-038</x:v>
      </x:c>
      <x:c r="B14" s="6" t="str">
        <x:v>Apply least-privilege certificate-based OPC UA across the controlled quality zone</x:v>
      </x:c>
      <x:c r="C14" s="6" t="str">
        <x:v>Review plus deterministic source tests and structured behavioral fault injection where applicable</x:v>
      </x:c>
      <x:c r="D14" s="6" t="str">
        <x:v>Implemented locally where possible; external native/data/hardware acceptance remains explicit</x:v>
      </x:c>
      <x:c r="E14" s="6" t="str">
        <x:v>13_documentation/network_cybersecurity.md</x:v>
      </x:c>
      <x:c r="F14" s="6" t="str">
        <x:v>OPCUA-INTEGRATION</x:v>
      </x:c>
      <x:c r="G14" s="6" t="str">
        <x:v>Revision-F controlled source, schedule, test and review records</x:v>
      </x:c>
    </x:row>
    <x:row r="15" ht="54" customHeight="1">
      <x:c r="A15" s="6" t="str">
        <x:v>SYS-039</x:v>
      </x:c>
      <x:c r="B15" s="6" t="str">
        <x:v>Retain bounded deployment rollback and independent model/configuration/calibration identities</x:v>
      </x:c>
      <x:c r="C15" s="6" t="str">
        <x:v>Review plus deterministic source tests and structured behavioral fault injection where applicable</x:v>
      </x:c>
      <x:c r="D15" s="6" t="str">
        <x:v>Implemented locally where possible; external native/data/hardware acceptance remains explicit</x:v>
      </x:c>
      <x:c r="E15" s="6" t="str">
        <x:v>13_documentation/ai_maintenance_backup.md</x:v>
      </x:c>
      <x:c r="F15" s="6" t="str">
        <x:v>DOC-LINK</x:v>
      </x:c>
      <x:c r="G15" s="6" t="str">
        <x:v>Revision-F controlled source, schedule, test and review records</x:v>
      </x:c>
    </x:row>
    <x:row r="16" ht="54" customHeight="1">
      <x:c r="A16" s="6" t="str">
        <x:v>SYS-040</x:v>
      </x:c>
      <x:c r="B16" s="6" t="str">
        <x:v>Do not retain raw production images by default and require an approved retention/privacy policy</x:v>
      </x:c>
      <x:c r="C16" s="6" t="str">
        <x:v>Review plus deterministic source tests and structured behavioral fault injection where applicable</x:v>
      </x:c>
      <x:c r="D16" s="6" t="str">
        <x:v>Implemented locally where possible; external native/data/hardware acceptance remains explicit</x:v>
      </x:c>
      <x:c r="E16" s="6" t="str">
        <x:v>02_system_architecture/revision_f_vision_integration_architecture.md</x:v>
      </x:c>
      <x:c r="F16" s="6" t="str">
        <x:v>DOC-LINK</x:v>
      </x:c>
      <x:c r="G16" s="6" t="str">
        <x:v>Revision-F controlled source, schedule, test and review records</x:v>
      </x:c>
    </x:row>
    <x:row r="17" ht="54" customHeight="1">
      <x:c r="A17" s="6" t="str">
        <x:v>SYS-041</x:v>
      </x:c>
      <x:c r="B17" s="6" t="str">
        <x:v>Reserve separately protected edge, camera, lighting and maintenance electrical branches</x:v>
      </x:c>
      <x:c r="C17" s="6" t="str">
        <x:v>Review plus deterministic source tests and structured behavioral fault injection where applicable</x:v>
      </x:c>
      <x:c r="D17" s="6" t="str">
        <x:v>Implemented locally where possible; external native/data/hardware acceptance remains explicit</x:v>
      </x:c>
      <x:c r="E17" s="6" t="str">
        <x:v>03_electrical/revision_f_nvidia_electrical_delta.md</x:v>
      </x:c>
      <x:c r="F17" s="6" t="str">
        <x:v>NED-CHECK</x:v>
      </x:c>
      <x:c r="G17" s="6" t="str">
        <x:v>Revision-F controlled source, schedule, test and review records</x:v>
      </x:c>
    </x:row>
    <x:row r="18" ht="54" customHeight="1">
      <x:c r="A18" s="6" t="str">
        <x:v>SYS-042</x:v>
      </x:c>
      <x:c r="B18" s="6" t="str">
        <x:v>Reject queue saturation, concurrent transaction reuse and results for unknown IDs</x:v>
      </x:c>
      <x:c r="C18" s="6" t="str">
        <x:v>Review plus deterministic source tests and structured behavioral fault injection where applicable</x:v>
      </x:c>
      <x:c r="D18" s="6" t="str">
        <x:v>Implemented locally where possible; external native/data/hardware acceptance remains explicit</x:v>
      </x:c>
      <x:c r="E18" s="6" t="str">
        <x:v>11_simulation/vision_fault_scenarios.json</x:v>
      </x:c>
      <x:c r="F18" s="6" t="str">
        <x:v>EDGE-V3; VFS-012; VFS-025</x:v>
      </x:c>
      <x:c r="G18" s="6" t="str">
        <x:v>Revision-F controlled source, schedule, test and review records</x:v>
      </x:c>
    </x:row>
    <x:row r="19" ht="54" customHeight="1">
      <x:c r="A19" s="6" t="str">
        <x:v>SYS-043</x:v>
      </x:c>
      <x:c r="B19" s="6" t="str">
        <x:v>Invalidate an active inspection on recipe change or unacceptable clock discontinuity</x:v>
      </x:c>
      <x:c r="C19" s="6" t="str">
        <x:v>Review plus deterministic source tests and structured behavioral fault injection where applicable</x:v>
      </x:c>
      <x:c r="D19" s="6" t="str">
        <x:v>Implemented locally where possible; external native/data/hardware acceptance remains explicit</x:v>
      </x:c>
      <x:c r="E19" s="6" t="str">
        <x:v>07_nvidia_vision/edge_service/opcua_adapter.py; 11_simulation/vision_fault_scenarios.json</x:v>
      </x:c>
      <x:c r="F19" s="6" t="str">
        <x:v>EDGE-V3; VFS-019; VFS-020</x:v>
      </x:c>
      <x:c r="G19" s="6" t="str">
        <x:v>Revision-F controlled source, schedule, test and review records</x:v>
      </x:c>
    </x:row>
    <x:row r="20" ht="54" customHeight="1">
      <x:c r="A20" s="6" t="str">
        <x:v>SYS-044</x:v>
      </x:c>
      <x:c r="B20" s="6" t="str">
        <x:v>Require explicit recovery and a new start following PLC or edge restart</x:v>
      </x:c>
      <x:c r="C20" s="6" t="str">
        <x:v>Review plus deterministic source tests and structured behavioral fault injection where applicable</x:v>
      </x:c>
      <x:c r="D20" s="6" t="str">
        <x:v>Implemented locally where possible; external native/data/hardware acceptance remains explicit</x:v>
      </x:c>
      <x:c r="E20" s="6" t="str">
        <x:v>11_simulation/revision_f_vision_sil.py</x:v>
      </x:c>
      <x:c r="F20" s="6" t="str">
        <x:v>VFS-017; VFS-018; VFS-027</x:v>
      </x:c>
      <x:c r="G20" s="6" t="str">
        <x:v>Revision-F controlled source, schedule, test and review records</x:v>
      </x:c>
    </x:row>
    <x:row r="21" ht="54" customHeight="1">
      <x:c r="A21" s="6" t="str">
        <x:v>SYS-045</x:v>
      </x:c>
      <x:c r="B21" s="6" t="str">
        <x:v>Keep flow and level instrumentation as the primary deterministic filling measurement</x:v>
      </x:c>
      <x:c r="C21" s="6" t="str">
        <x:v>Review plus deterministic source tests and structured behavioral fault injection where applicable</x:v>
      </x:c>
      <x:c r="D21" s="6" t="str">
        <x:v>Implemented locally where possible; external native/data/hardware acceptance remains explicit</x:v>
      </x:c>
      <x:c r="E21" s="6" t="str">
        <x:v>02_system_architecture/revision_f_vision_integration_architecture.md</x:v>
      </x:c>
      <x:c r="F21" s="6" t="str">
        <x:v>ARCH-OWNER</x:v>
      </x:c>
      <x:c r="G21" s="6" t="str">
        <x:v>Revision-F controlled source, schedule, test and review records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33.75" hidden="0" customWidth="1"/>
    <x:col min="5" max="5" width="19.3799991607666" hidden="0" customWidth="1"/>
    <x:col min="6" max="6" width="19.3799991607666" hidden="0" customWidth="1"/>
    <x:col min="7" max="7" width="10.630000114440918" hidden="0" customWidth="1"/>
    <x:col min="8" max="8" width="19.3799991607666" hidden="0" customWidth="1"/>
  </x:cols>
  <x:sheetData>
    <x:row r="1" ht="31.5" customHeight="1">
      <x:c r="A1" s="12" t="str">
        <x:v>scenario</x:v>
      </x:c>
      <x:c r="B1" s="12" t="str">
        <x:v>stimulus</x:v>
      </x:c>
      <x:c r="C1" s="12" t="str">
        <x:v>injection</x:v>
      </x:c>
      <x:c r="D1" s="12" t="str">
        <x:v>expected_state</x:v>
      </x:c>
      <x:c r="E1" s="12" t="str">
        <x:v>diagnostic</x:v>
      </x:c>
      <x:c r="F1" s="12" t="str">
        <x:v>result_class</x:v>
      </x:c>
      <x:c r="G1" s="12" t="str">
        <x:v>identity_policy</x:v>
      </x:c>
      <x:c r="H1" s="12" t="str">
        <x:v>recovery</x:v>
      </x:c>
    </x:row>
    <x:row r="2" ht="54" customHeight="1">
      <x:c r="A2" s="6" t="str">
        <x:v>normal_pass</x:v>
      </x:c>
      <x:c r="B2" s="6" t="str">
        <x:v>Fresh correlated PASS with healthy camera, model and heartbeats</x:v>
      </x:c>
      <x:c r="C2" s="6" t="str">
        <x:v>{}</x:v>
      </x:c>
      <x:c r="D2" s="6" t="str">
        <x:v>READY</x:v>
      </x:c>
      <x:c r="E2" s="6" t="str">
        <x:v>NONE</x:v>
      </x:c>
      <x:c r="F2" s="6" t="str">
        <x:v>PASS</x:v>
      </x:c>
      <x:c r="G2" s="6" t="str">
        <x:v>EXACT</x:v>
      </x:c>
      <x:c r="H2" s="6" t="str">
        <x:v>NONE</x:v>
      </x:c>
    </x:row>
    <x:row r="3" ht="54" customHeight="1">
      <x:c r="A3" s="6" t="str">
        <x:v>valid_fail</x:v>
      </x:c>
      <x:c r="B3" s="6" t="str">
        <x:v>Fresh correlated quality FAIL</x:v>
      </x:c>
      <x:c r="C3" s="6" t="str">
        <x:v>{'result_class': 'FAIL'}</x:v>
      </x:c>
      <x:c r="D3" s="6" t="str">
        <x:v>HOLDING</x:v>
      </x:c>
      <x:c r="E3" s="6" t="str">
        <x:v>QUALITY_FAIL</x:v>
      </x:c>
      <x:c r="F3" s="6" t="str">
        <x:v>FAIL</x:v>
      </x:c>
      <x:c r="G3" s="6" t="str">
        <x:v>EXACT</x:v>
      </x:c>
      <x:c r="H3" s="6" t="str">
        <x:v>OPERATOR_DISPOSITION</x:v>
      </x:c>
    </x:row>
    <x:row r="4" ht="54" customHeight="1">
      <x:c r="A4" s="6" t="str">
        <x:v>hold_result</x:v>
      </x:c>
      <x:c r="B4" s="6" t="str">
        <x:v>Fresh correlated HOLD result</x:v>
      </x:c>
      <x:c r="C4" s="6" t="str">
        <x:v>{'result_class': 'HOLD'}</x:v>
      </x:c>
      <x:c r="D4" s="6" t="str">
        <x:v>HOLDING</x:v>
      </x:c>
      <x:c r="E4" s="6" t="str">
        <x:v>QUALITY_HOLD</x:v>
      </x:c>
      <x:c r="F4" s="6" t="str">
        <x:v>HOLD</x:v>
      </x:c>
      <x:c r="G4" s="6" t="str">
        <x:v>EXACT</x:v>
      </x:c>
      <x:c r="H4" s="6" t="str">
        <x:v>OPERATOR_DISPOSITION</x:v>
      </x:c>
    </x:row>
    <x:row r="5" ht="54" customHeight="1">
      <x:c r="A5" s="6" t="str">
        <x:v>ai_timeout</x:v>
      </x:c>
      <x:c r="B5" s="6" t="str">
        <x:v>No terminal result before PLC deadline</x:v>
      </x:c>
      <x:c r="C5" s="6" t="str">
        <x:v>{'result_present': False, 'deadline_expired': True}</x:v>
      </x:c>
      <x:c r="D5" s="6" t="str">
        <x:v>HOLDING</x:v>
      </x:c>
      <x:c r="E5" s="6" t="str">
        <x:v>RESULT_TIMEOUT</x:v>
      </x:c>
      <x:c r="F5" s="6" t="str">
        <x:v>INVALID</x:v>
      </x:c>
      <x:c r="G5" s="6" t="str">
        <x:v>EXACT</x:v>
      </x:c>
      <x:c r="H5" s="6" t="str">
        <x:v>CLEAR_CAUSE_RESET_NEW_REQUEST</x:v>
      </x:c>
    </x:row>
    <x:row r="6" ht="54" customHeight="1">
      <x:c r="A6" s="6" t="str">
        <x:v>heartbeat_loss</x:v>
      </x:c>
      <x:c r="B6" s="6" t="str">
        <x:v>Edge heartbeat age exceeds limit</x:v>
      </x:c>
      <x:c r="C6" s="6" t="str">
        <x:v>{'heartbeat_ok': False}</x:v>
      </x:c>
      <x:c r="D6" s="6" t="str">
        <x:v>FAULTED</x:v>
      </x:c>
      <x:c r="E6" s="6" t="str">
        <x:v>EDGE_HEARTBEAT_LOSS</x:v>
      </x:c>
      <x:c r="F6" s="6" t="str">
        <x:v>INVALID</x:v>
      </x:c>
      <x:c r="G6" s="6" t="str">
        <x:v>EXACT</x:v>
      </x:c>
      <x:c r="H6" s="6" t="str">
        <x:v>RESTORE_HEARTBEAT_RESET_NEW_REQUEST</x:v>
      </x:c>
    </x:row>
    <x:row r="7" ht="54" customHeight="1">
      <x:c r="A7" s="6" t="str">
        <x:v>camera_disconnected</x:v>
      </x:c>
      <x:c r="B7" s="6" t="str">
        <x:v>Camera health false during request</x:v>
      </x:c>
      <x:c r="C7" s="6" t="str">
        <x:v>{'camera_ok': False}</x:v>
      </x:c>
      <x:c r="D7" s="6" t="str">
        <x:v>FAULTED</x:v>
      </x:c>
      <x:c r="E7" s="6" t="str">
        <x:v>CAMERA_DISCONNECTED</x:v>
      </x:c>
      <x:c r="F7" s="6" t="str">
        <x:v>INVALID</x:v>
      </x:c>
      <x:c r="G7" s="6" t="str">
        <x:v>EXACT</x:v>
      </x:c>
      <x:c r="H7" s="6" t="str">
        <x:v>RESTORE_CAMERA_RECALIBRATE_RESET</x:v>
      </x:c>
    </x:row>
    <x:row r="8" ht="54" customHeight="1">
      <x:c r="A8" s="6" t="str">
        <x:v>model_unavailable</x:v>
      </x:c>
      <x:c r="B8" s="6" t="str">
        <x:v>Configured model is not loaded</x:v>
      </x:c>
      <x:c r="C8" s="6" t="str">
        <x:v>{'model_loaded': False}</x:v>
      </x:c>
      <x:c r="D8" s="6" t="str">
        <x:v>FAULTED</x:v>
      </x:c>
      <x:c r="E8" s="6" t="str">
        <x:v>MODEL_UNAVAILABLE</x:v>
      </x:c>
      <x:c r="F8" s="6" t="str">
        <x:v>INVALID</x:v>
      </x:c>
      <x:c r="G8" s="6" t="str">
        <x:v>EXACT</x:v>
      </x:c>
      <x:c r="H8" s="6" t="str">
        <x:v>LOAD_APPROVED_MODEL_RESET</x:v>
      </x:c>
    </x:row>
    <x:row r="9" ht="54" customHeight="1">
      <x:c r="A9" s="6" t="str">
        <x:v>low_confidence</x:v>
      </x:c>
      <x:c r="B9" s="6" t="str">
        <x:v>Quality score below controlled threshold</x:v>
      </x:c>
      <x:c r="C9" s="6" t="str">
        <x:v>{'confidence_ok': False}</x:v>
      </x:c>
      <x:c r="D9" s="6" t="str">
        <x:v>HOLDING</x:v>
      </x:c>
      <x:c r="E9" s="6" t="str">
        <x:v>LOW_CONFIDENCE</x:v>
      </x:c>
      <x:c r="F9" s="6" t="str">
        <x:v>INVALID</x:v>
      </x:c>
      <x:c r="G9" s="6" t="str">
        <x:v>EXACT</x:v>
      </x:c>
      <x:c r="H9" s="6" t="str">
        <x:v>OPERATOR_DISPOSITION</x:v>
      </x:c>
    </x:row>
    <x:row r="10" ht="54" customHeight="1">
      <x:c r="A10" s="6" t="str">
        <x:v>malformed_result</x:v>
      </x:c>
      <x:c r="B10" s="6" t="str">
        <x:v>Payload type, range or completeness violation</x:v>
      </x:c>
      <x:c r="C10" s="6" t="str">
        <x:v>{'payload_valid': False}</x:v>
      </x:c>
      <x:c r="D10" s="6" t="str">
        <x:v>FAULTED</x:v>
      </x:c>
      <x:c r="E10" s="6" t="str">
        <x:v>MALFORMED_RESULT</x:v>
      </x:c>
      <x:c r="F10" s="6" t="str">
        <x:v>INVALID</x:v>
      </x:c>
      <x:c r="G10" s="6" t="str">
        <x:v>EXACT</x:v>
      </x:c>
      <x:c r="H10" s="6" t="str">
        <x:v>CORRECT_EDGE_FAULT_RESET_NEW_REQUEST</x:v>
      </x:c>
    </x:row>
    <x:row r="11" ht="54" customHeight="1">
      <x:c r="A11" s="6" t="str">
        <x:v>stale_result_id</x:v>
      </x:c>
      <x:c r="B11" s="6" t="str">
        <x:v>Result ID precedes active inspection ID</x:v>
      </x:c>
      <x:c r="C11" s="6" t="str">
        <x:v>{'identity_status': 'STALE'}</x:v>
      </x:c>
      <x:c r="D11" s="6" t="str">
        <x:v>HOLDING</x:v>
      </x:c>
      <x:c r="E11" s="6" t="str">
        <x:v>STALE_RESULT_ID</x:v>
      </x:c>
      <x:c r="F11" s="6" t="str">
        <x:v>INVALID</x:v>
      </x:c>
      <x:c r="G11" s="6" t="str">
        <x:v>STALE</x:v>
      </x:c>
      <x:c r="H11" s="6" t="str">
        <x:v>ACK_CLEAR_RESET_NEW_REQUEST</x:v>
      </x:c>
    </x:row>
    <x:row r="12" ht="54" customHeight="1">
      <x:c r="A12" s="6" t="str">
        <x:v>duplicate_result</x:v>
      </x:c>
      <x:c r="B12" s="6" t="str">
        <x:v>Previously acknowledged transaction is republished</x:v>
      </x:c>
      <x:c r="C12" s="6" t="str">
        <x:v>{'identity_status': 'DUPLICATE'}</x:v>
      </x:c>
      <x:c r="D12" s="6" t="str">
        <x:v>HOLDING</x:v>
      </x:c>
      <x:c r="E12" s="6" t="str">
        <x:v>DUPLICATE_RESULT</x:v>
      </x:c>
      <x:c r="F12" s="6" t="str">
        <x:v>INVALID</x:v>
      </x:c>
      <x:c r="G12" s="6" t="str">
        <x:v>DUPLICATE</x:v>
      </x:c>
      <x:c r="H12" s="6" t="str">
        <x:v>ACK_CLEAR_RESET_NEW_REQUEST</x:v>
      </x:c>
    </x:row>
    <x:row r="13" ht="54" customHeight="1">
      <x:c r="A13" s="6" t="str">
        <x:v>future_unknown_id</x:v>
      </x:c>
      <x:c r="B13" s="6" t="str">
        <x:v>Result ID exceeds active inspection ID</x:v>
      </x:c>
      <x:c r="C13" s="6" t="str">
        <x:v>{'identity_status': 'FUTURE'}</x:v>
      </x:c>
      <x:c r="D13" s="6" t="str">
        <x:v>FAULTED</x:v>
      </x:c>
      <x:c r="E13" s="6" t="str">
        <x:v>FUTURE_RESULT_ID</x:v>
      </x:c>
      <x:c r="F13" s="6" t="str">
        <x:v>INVALID</x:v>
      </x:c>
      <x:c r="G13" s="6" t="str">
        <x:v>FUTURE</x:v>
      </x:c>
      <x:c r="H13" s="6" t="str">
        <x:v>CLEAR_EDGE_STATE_RESET_NEW_SESSION</x:v>
      </x:c>
    </x:row>
    <x:row r="14" ht="54" customHeight="1">
      <x:c r="A14" s="6" t="str">
        <x:v>delayed_after_timeout</x:v>
      </x:c>
      <x:c r="B14" s="6" t="str">
        <x:v>Terminal result arrives after timeout disposition</x:v>
      </x:c>
      <x:c r="C14" s="6" t="str">
        <x:v>{'deadline_expired': True, 'identity_status': 'STALE'}</x:v>
      </x:c>
      <x:c r="D14" s="6" t="str">
        <x:v>HOLDING</x:v>
      </x:c>
      <x:c r="E14" s="6" t="str">
        <x:v>LATE_RESULT</x:v>
      </x:c>
      <x:c r="F14" s="6" t="str">
        <x:v>INVALID</x:v>
      </x:c>
      <x:c r="G14" s="6" t="str">
        <x:v>STALE</x:v>
      </x:c>
      <x:c r="H14" s="6" t="str">
        <x:v>ACK_CLEAR_RESET_NEW_REQUEST</x:v>
      </x:c>
    </x:row>
    <x:row r="15" ht="54" customHeight="1">
      <x:c r="A15" s="6" t="str">
        <x:v>reordered_messages</x:v>
      </x:c>
      <x:c r="B15" s="6" t="str">
        <x:v>RESULT_VALID arrives before complete immutable payload</x:v>
      </x:c>
      <x:c r="C15" s="6" t="str">
        <x:v>{'publication_order_valid': False}</x:v>
      </x:c>
      <x:c r="D15" s="6" t="str">
        <x:v>FAULTED</x:v>
      </x:c>
      <x:c r="E15" s="6" t="str">
        <x:v>PUBLICATION_ORDER_FAULT</x:v>
      </x:c>
      <x:c r="F15" s="6" t="str">
        <x:v>INVALID</x:v>
      </x:c>
      <x:c r="G15" s="6" t="str">
        <x:v>EXACT</x:v>
      </x:c>
      <x:c r="H15" s="6" t="str">
        <x:v>CORRECT_EDGE_FAULT_RESET_NEW_REQUEST</x:v>
      </x:c>
    </x:row>
    <x:row r="16" ht="54" customHeight="1">
      <x:c r="A16" s="6" t="str">
        <x:v>opcua_disconnect</x:v>
      </x:c>
      <x:c r="B16" s="6" t="str">
        <x:v>Secure OPC UA session disconnects during request</x:v>
      </x:c>
      <x:c r="C16" s="6" t="str">
        <x:v>{'opcua_connected': False}</x:v>
      </x:c>
      <x:c r="D16" s="6" t="str">
        <x:v>FAULTED</x:v>
      </x:c>
      <x:c r="E16" s="6" t="str">
        <x:v>OPCUA_DISCONNECTED</x:v>
      </x:c>
      <x:c r="F16" s="6" t="str">
        <x:v>INVALID</x:v>
      </x:c>
      <x:c r="G16" s="6" t="str">
        <x:v>EXACT</x:v>
      </x:c>
      <x:c r="H16" s="6" t="str">
        <x:v>RECONNECT_RECONCILE_RESET</x:v>
      </x:c>
    </x:row>
    <x:row r="17" ht="54" customHeight="1">
      <x:c r="A17" s="6" t="str">
        <x:v>opcua_reconnection</x:v>
      </x:c>
      <x:c r="B17" s="6" t="str">
        <x:v>Transport reconnects with no coherent retained publication</x:v>
      </x:c>
      <x:c r="C17" s="6" t="str">
        <x:v>{'reconnect_event': True, 'reconnect_coherent': False}</x:v>
      </x:c>
      <x:c r="D17" s="6" t="str">
        <x:v>HOLDING</x:v>
      </x:c>
      <x:c r="E17" s="6" t="str">
        <x:v>RECONNECT_RECONCILIATION</x:v>
      </x:c>
      <x:c r="F17" s="6" t="str">
        <x:v>INVALID</x:v>
      </x:c>
      <x:c r="G17" s="6" t="str">
        <x:v>EXACT</x:v>
      </x:c>
      <x:c r="H17" s="6" t="str">
        <x:v>DISABLED_SYNC_NEW_REQUEST</x:v>
      </x:c>
    </x:row>
    <x:row r="18" ht="54" customHeight="1">
      <x:c r="A18" s="6" t="str">
        <x:v>edge_service_restart</x:v>
      </x:c>
      <x:c r="B18" s="6" t="str">
        <x:v>Edge process restarts with an active request</x:v>
      </x:c>
      <x:c r="C18" s="6" t="str">
        <x:v>{'edge_restarted': True}</x:v>
      </x:c>
      <x:c r="D18" s="6" t="str">
        <x:v>HOLDING</x:v>
      </x:c>
      <x:c r="E18" s="6" t="str">
        <x:v>EDGE_RESTART</x:v>
      </x:c>
      <x:c r="F18" s="6" t="str">
        <x:v>INVALID</x:v>
      </x:c>
      <x:c r="G18" s="6" t="str">
        <x:v>EXACT</x:v>
      </x:c>
      <x:c r="H18" s="6" t="str">
        <x:v>RESTORE_OR_INVALIDATE_PUBLICATION_RESET</x:v>
      </x:c>
    </x:row>
    <x:row r="19" ht="54" customHeight="1">
      <x:c r="A19" s="6" t="str">
        <x:v>plc_restart</x:v>
      </x:c>
      <x:c r="B19" s="6" t="str">
        <x:v>PLC session epoch advances during inspection</x:v>
      </x:c>
      <x:c r="C19" s="6" t="str">
        <x:v>{'identity_status': 'SESSION_CHANGED'}</x:v>
      </x:c>
      <x:c r="D19" s="6" t="str">
        <x:v>STOPPED</x:v>
      </x:c>
      <x:c r="E19" s="6" t="str">
        <x:v>PLC_SESSION_CHANGED</x:v>
      </x:c>
      <x:c r="F19" s="6" t="str">
        <x:v>INVALID</x:v>
      </x:c>
      <x:c r="G19" s="6" t="str">
        <x:v>SESSION_CHANGED</x:v>
      </x:c>
      <x:c r="H19" s="6" t="str">
        <x:v>DISABLED_SYNC_EXPLICIT_START</x:v>
      </x:c>
    </x:row>
    <x:row r="20" ht="54" customHeight="1">
      <x:c r="A20" s="6" t="str">
        <x:v>recipe_change_during_inspection</x:v>
      </x:c>
      <x:c r="B20" s="6" t="str">
        <x:v>Recipe ID changes before terminal result</x:v>
      </x:c>
      <x:c r="C20" s="6" t="str">
        <x:v>{'recipe_unchanged': False}</x:v>
      </x:c>
      <x:c r="D20" s="6" t="str">
        <x:v>HOLDING</x:v>
      </x:c>
      <x:c r="E20" s="6" t="str">
        <x:v>RECIPE_CHANGED</x:v>
      </x:c>
      <x:c r="F20" s="6" t="str">
        <x:v>INVALID</x:v>
      </x:c>
      <x:c r="G20" s="6" t="str">
        <x:v>EXACT</x:v>
      </x:c>
      <x:c r="H20" s="6" t="str">
        <x:v>ABORT_CLEAR_NEW_REQUEST</x:v>
      </x:c>
    </x:row>
    <x:row r="21" ht="54" customHeight="1">
      <x:c r="A21" s="6" t="str">
        <x:v>clock_discontinuity</x:v>
      </x:c>
      <x:c r="B21" s="6" t="str">
        <x:v>UTC source jumps outside allowed tolerance</x:v>
      </x:c>
      <x:c r="C21" s="6" t="str">
        <x:v>{'clock_stable': False}</x:v>
      </x:c>
      <x:c r="D21" s="6" t="str">
        <x:v>HOLDING</x:v>
      </x:c>
      <x:c r="E21" s="6" t="str">
        <x:v>CLOCK_DISCONTINUITY</x:v>
      </x:c>
      <x:c r="F21" s="6" t="str">
        <x:v>INVALID</x:v>
      </x:c>
      <x:c r="G21" s="6" t="str">
        <x:v>EXACT</x:v>
      </x:c>
      <x:c r="H21" s="6" t="str">
        <x:v>RESTORE_TIME_SYNC_RESET_NEW_REQUEST</x:v>
      </x:c>
    </x:row>
    <x:row r="22" ht="54" customHeight="1">
      <x:c r="A22" s="6" t="str">
        <x:v>log_storage_failure</x:v>
      </x:c>
      <x:c r="B22" s="6" t="str">
        <x:v>Required audit record cannot be durably written</x:v>
      </x:c>
      <x:c r="C22" s="6" t="str">
        <x:v>{'audit_storage_ok': False}</x:v>
      </x:c>
      <x:c r="D22" s="6" t="str">
        <x:v>FAULTED</x:v>
      </x:c>
      <x:c r="E22" s="6" t="str">
        <x:v>AUDIT_STORAGE_FAILURE</x:v>
      </x:c>
      <x:c r="F22" s="6" t="str">
        <x:v>INVALID</x:v>
      </x:c>
      <x:c r="G22" s="6" t="str">
        <x:v>EXACT</x:v>
      </x:c>
      <x:c r="H22" s="6" t="str">
        <x:v>RESTORE_STORAGE_RESET</x:v>
      </x:c>
    </x:row>
    <x:row r="23" ht="54" customHeight="1">
      <x:c r="A23" s="6" t="str">
        <x:v>corrupt_configuration</x:v>
      </x:c>
      <x:c r="B23" s="6" t="str">
        <x:v>Configuration schema or signature validation fails</x:v>
      </x:c>
      <x:c r="C23" s="6" t="str">
        <x:v>{'configuration_valid': False}</x:v>
      </x:c>
      <x:c r="D23" s="6" t="str">
        <x:v>FAULTED</x:v>
      </x:c>
      <x:c r="E23" s="6" t="str">
        <x:v>CONFIG_INVALID</x:v>
      </x:c>
      <x:c r="F23" s="6" t="str">
        <x:v>INVALID</x:v>
      </x:c>
      <x:c r="G23" s="6" t="str">
        <x:v>EXACT</x:v>
      </x:c>
      <x:c r="H23" s="6" t="str">
        <x:v>RESTORE_APPROVED_CONFIG_RESTART</x:v>
      </x:c>
    </x:row>
    <x:row r="24" ht="54" customHeight="1">
      <x:c r="A24" s="6" t="str">
        <x:v>invalid_model_hash</x:v>
      </x:c>
      <x:c r="B24" s="6" t="str">
        <x:v>Loaded model SHA-256 differs from approved identity</x:v>
      </x:c>
      <x:c r="C24" s="6" t="str">
        <x:v>{'model_hash_valid': False}</x:v>
      </x:c>
      <x:c r="D24" s="6" t="str">
        <x:v>FAULTED</x:v>
      </x:c>
      <x:c r="E24" s="6" t="str">
        <x:v>MODEL_HASH_MISMATCH</x:v>
      </x:c>
      <x:c r="F24" s="6" t="str">
        <x:v>INVALID</x:v>
      </x:c>
      <x:c r="G24" s="6" t="str">
        <x:v>EXACT</x:v>
      </x:c>
      <x:c r="H24" s="6" t="str">
        <x:v>ROLLBACK_APPROVED_MODEL_RESET</x:v>
      </x:c>
    </x:row>
    <x:row r="25" ht="54" customHeight="1">
      <x:c r="A25" s="6" t="str">
        <x:v>excessive_latency</x:v>
      </x:c>
      <x:c r="B25" s="6" t="str">
        <x:v>Processing latency exceeds controlled deadline</x:v>
      </x:c>
      <x:c r="C25" s="6" t="str">
        <x:v>{'latency_ok': False}</x:v>
      </x:c>
      <x:c r="D25" s="6" t="str">
        <x:v>HOLDING</x:v>
      </x:c>
      <x:c r="E25" s="6" t="str">
        <x:v>LATENCY_EXCEEDED</x:v>
      </x:c>
      <x:c r="F25" s="6" t="str">
        <x:v>INVALID</x:v>
      </x:c>
      <x:c r="G25" s="6" t="str">
        <x:v>EXACT</x:v>
      </x:c>
      <x:c r="H25" s="6" t="str">
        <x:v>INVESTIGATE_PERFORMANCE_RESET_NEW_REQUEST</x:v>
      </x:c>
    </x:row>
    <x:row r="26" ht="54" customHeight="1">
      <x:c r="A26" s="6" t="str">
        <x:v>queue_saturation</x:v>
      </x:c>
      <x:c r="B26" s="6" t="str">
        <x:v>Inspection queue depth exceeds configured bound</x:v>
      </x:c>
      <x:c r="C26" s="6" t="str">
        <x:v>{'queue_within_limit': False}</x:v>
      </x:c>
      <x:c r="D26" s="6" t="str">
        <x:v>FAULTED</x:v>
      </x:c>
      <x:c r="E26" s="6" t="str">
        <x:v>QUEUE_SATURATION</x:v>
      </x:c>
      <x:c r="F26" s="6" t="str">
        <x:v>INVALID</x:v>
      </x:c>
      <x:c r="G26" s="6" t="str">
        <x:v>EXACT</x:v>
      </x:c>
      <x:c r="H26" s="6" t="str">
        <x:v>DRAIN_OR_RESTART_RESET</x:v>
      </x:c>
    </x:row>
    <x:row r="27" ht="54" customHeight="1">
      <x:c r="A27" s="6" t="str">
        <x:v>operator_bypass_request</x:v>
      </x:c>
      <x:c r="B27" s="6" t="str">
        <x:v>Operator requests maintenance bypass</x:v>
      </x:c>
      <x:c r="C27" s="6" t="str">
        <x:v>{'bypass_requested': True}</x:v>
      </x:c>
      <x:c r="D27" s="6" t="str">
        <x:v>HOLDING</x:v>
      </x:c>
      <x:c r="E27" s="6" t="str">
        <x:v>BYPASS_REQUESTED</x:v>
      </x:c>
      <x:c r="F27" s="6" t="str">
        <x:v>INVALID</x:v>
      </x:c>
      <x:c r="G27" s="6" t="str">
        <x:v>EXACT</x:v>
      </x:c>
      <x:c r="H27" s="6" t="str">
        <x:v>AUTHORIZED_DISPOSITION_ONLY</x:v>
      </x:c>
    </x:row>
    <x:row r="28" ht="54" customHeight="1">
      <x:c r="A28" s="6" t="str">
        <x:v>recovery_after_fault</x:v>
      </x:c>
      <x:c r="B28" s="6" t="str">
        <x:v>Cause clears and reset is accepted</x:v>
      </x:c>
      <x:c r="C28" s="6" t="str">
        <x:v>{'recovery_completed': True}</x:v>
      </x:c>
      <x:c r="D28" s="6" t="str">
        <x:v>STOPPED</x:v>
      </x:c>
      <x:c r="E28" s="6" t="str">
        <x:v>RECOVERY_COMPLETE</x:v>
      </x:c>
      <x:c r="F28" s="6" t="str">
        <x:v>INVALID</x:v>
      </x:c>
      <x:c r="G28" s="6" t="str">
        <x:v>EXACT</x:v>
      </x:c>
      <x:c r="H28" s="6" t="str">
        <x:v>EXPLICIT_NEW_START</x:v>
      </x:c>
    </x:row>
    <x:row r="29" ht="54" customHeight="1">
      <x:c r="A29" s="6" t="str">
        <x:v>contradictory_result</x:v>
      </x:c>
      <x:c r="B29" s="6" t="str">
        <x:v>PASS is combined with warning, fault, spill or invalid fill status</x:v>
      </x:c>
      <x:c r="C29" s="6" t="str">
        <x:v>{'contradictory': True}</x:v>
      </x:c>
      <x:c r="D29" s="6" t="str">
        <x:v>FAULTED</x:v>
      </x:c>
      <x:c r="E29" s="6" t="str">
        <x:v>RESULT_CONTRADICTION</x:v>
      </x:c>
      <x:c r="F29" s="6" t="str">
        <x:v>INVALID</x:v>
      </x:c>
      <x:c r="G29" s="6" t="str">
        <x:v>EXACT</x:v>
      </x:c>
      <x:c r="H29" s="6" t="str">
        <x:v>CORRECT_EDGE_FAULT_RESET_NEW_REQUEST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9.3799991607666" hidden="0" customWidth="1"/>
    <x:col min="3" max="3" width="19.3799991607666" hidden="0" customWidth="1"/>
    <x:col min="4" max="4" width="33.75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0.630000114440918" hidden="0" customWidth="1"/>
    <x:col min="11" max="11" width="22.5" hidden="0" customWidth="1"/>
    <x:col min="12" max="12" width="19.3799991607666" hidden="0" customWidth="1"/>
    <x:col min="13" max="13" width="19.3799991607666" hidden="0" customWidth="1"/>
  </x:cols>
  <x:sheetData>
    <x:row r="1" ht="31.5" customHeight="1">
      <x:c r="A1" s="12" t="str">
        <x:v>item_id</x:v>
      </x:c>
      <x:c r="B1" s="12" t="str">
        <x:v>designation</x:v>
      </x:c>
      <x:c r="C1" s="12" t="str">
        <x:v>category</x:v>
      </x:c>
      <x:c r="D1" s="12" t="str">
        <x:v>description</x:v>
      </x:c>
      <x:c r="E1" s="12" t="str">
        <x:v>voltage_vdc</x:v>
      </x:c>
      <x:c r="F1" s="12" t="str">
        <x:v>allowance_w</x:v>
      </x:c>
      <x:c r="G1" s="12" t="str">
        <x:v>allowance_a</x:v>
      </x:c>
      <x:c r="H1" s="12" t="str">
        <x:v>protection_concept</x:v>
      </x:c>
      <x:c r="I1" s="12" t="str">
        <x:v>terminal_or_port</x:v>
      </x:c>
      <x:c r="J1" s="12" t="str">
        <x:v>cable_id</x:v>
      </x:c>
      <x:c r="K1" s="12" t="str">
        <x:v>status</x:v>
      </x:c>
      <x:c r="L1" s="12" t="str">
        <x:v>closure_input</x:v>
      </x:c>
      <x:c r="M1" s="12" t="str">
        <x:v>rationale</x:v>
      </x:c>
    </x:row>
    <x:row r="2" ht="54" customHeight="1">
      <x:c r="A2" s="6" t="str">
        <x:v>NED-001</x:v>
      </x:c>
      <x:c r="B2" s="6" t="str">
        <x:v>=FC01+CP01-F220</x:v>
      </x:c>
      <x:c r="C2" s="6" t="str">
        <x:v>Protection</x:v>
      </x:c>
      <x:c r="D2" s="6" t="str">
        <x:v>Edge-computer protected branch</x:v>
      </x:c>
      <x:c r="E2" s="6" t="str">
        <x:v>24</x:v>
      </x:c>
      <x:c r="F2" s="6" t="str">
        <x:v>60</x:v>
      </x:c>
      <x:c r="G2" s="6" t="str">
        <x:v>2.5</x:v>
      </x:c>
      <x:c r="H2" s="6" t="str">
        <x:v>Dedicated electronic protection or fuse; rating TBD</x:v>
      </x:c>
      <x:c r="I2" s="6" t="str">
        <x:v>X200:1-2</x:v>
      </x:c>
      <x:c r="J2" s="6" t="str">
        <x:v>C200</x:v>
      </x:c>
      <x:c r="K2" s="6" t="str">
        <x:v>PROVISIONAL</x:v>
      </x:c>
      <x:c r="L2" s="6" t="str">
        <x:v>Carrier input range steady/inrush current and selected protection data</x:v>
      </x:c>
      <x:c r="M2" s="6" t="str">
        <x:v>Separates the highest vision load so an edge fault can be isolated without removing PLC control power</x:v>
      </x:c>
    </x:row>
    <x:row r="3" ht="54" customHeight="1">
      <x:c r="A3" s="6" t="str">
        <x:v>NED-002</x:v>
      </x:c>
      <x:c r="B3" s="6" t="str">
        <x:v>=FC01+FLD-CAM200</x:v>
      </x:c>
      <x:c r="C3" s="6" t="str">
        <x:v>Camera</x:v>
      </x:c>
      <x:c r="D3" s="6" t="str">
        <x:v>Vision camera power reservation</x:v>
      </x:c>
      <x:c r="E3" s="6" t="str">
        <x:v>24</x:v>
      </x:c>
      <x:c r="F3" s="6" t="str">
        <x:v>12</x:v>
      </x:c>
      <x:c r="G3" s="6" t="str">
        <x:v>0.5</x:v>
      </x:c>
      <x:c r="H3" s="6" t="str">
        <x:v>Dedicated protected branch; PoE not assumed</x:v>
      </x:c>
      <x:c r="I3" s="6" t="str">
        <x:v>X200:3-4</x:v>
      </x:c>
      <x:c r="J3" s="6" t="str">
        <x:v>C201</x:v>
      </x:c>
      <x:c r="K3" s="6" t="str">
        <x:v>PROVISIONAL</x:v>
      </x:c>
      <x:c r="L3" s="6" t="str">
        <x:v>Camera selection voltage PoE class connector and environment</x:v>
      </x:c>
      <x:c r="M3" s="6" t="str">
        <x:v>Reserves field-camera power independently because final voltage and PoE topology remain unselected</x:v>
      </x:c>
    </x:row>
    <x:row r="4" ht="54" customHeight="1">
      <x:c r="A4" s="6" t="str">
        <x:v>NED-003</x:v>
      </x:c>
      <x:c r="B4" s="6" t="str">
        <x:v>=FC01+FLD-LT200</x:v>
      </x:c>
      <x:c r="C4" s="6" t="str">
        <x:v>Lighting</x:v>
      </x:c>
      <x:c r="D4" s="6" t="str">
        <x:v>Vision light or strobe allowance</x:v>
      </x:c>
      <x:c r="E4" s="6" t="str">
        <x:v>24</x:v>
      </x:c>
      <x:c r="F4" s="6" t="str">
        <x:v>20</x:v>
      </x:c>
      <x:c r="G4" s="6" t="str">
        <x:v>0.833</x:v>
      </x:c>
      <x:c r="H4" s="6" t="str">
        <x:v>Dedicated protected branch through -K213 command path</x:v>
      </x:c>
      <x:c r="I4" s="6" t="str">
        <x:v>X200:5-6</x:v>
      </x:c>
      <x:c r="J4" s="6" t="str">
        <x:v>C203</x:v>
      </x:c>
      <x:c r="K4" s="6" t="str">
        <x:v>PROVISIONAL</x:v>
      </x:c>
      <x:c r="L4" s="6" t="str">
        <x:v>Light controller current pulse duty inrush and topology</x:v>
      </x:c>
      <x:c r="M4" s="6" t="str">
        <x:v>Separates pulsed lighting load and preserves PLC-controlled enable through the existing interposing path</x:v>
      </x:c>
    </x:row>
    <x:row r="5" ht="54" customHeight="1">
      <x:c r="A5" s="6" t="str">
        <x:v>NED-004</x:v>
      </x:c>
      <x:c r="B5" s="6" t="str">
        <x:v>=FC01+CP01-XS200</x:v>
      </x:c>
      <x:c r="C5" s="6" t="str">
        <x:v>Service</x:v>
      </x:c>
      <x:c r="D5" s="6" t="str">
        <x:v>Vision service-interface allowance</x:v>
      </x:c>
      <x:c r="E5" s="6" t="str">
        <x:v>24</x:v>
      </x:c>
      <x:c r="F5" s="6" t="str">
        <x:v>8</x:v>
      </x:c>
      <x:c r="G5" s="6" t="str">
        <x:v>0.333</x:v>
      </x:c>
      <x:c r="H5" s="6" t="str">
        <x:v>Dedicated maintenance-only branch</x:v>
      </x:c>
      <x:c r="I5" s="6" t="str">
        <x:v>X200:7-8</x:v>
      </x:c>
      <x:c r="J5" s="6" t="str">
        <x:v>C204</x:v>
      </x:c>
      <x:c r="K5" s="6" t="str">
        <x:v>PROVISIONAL</x:v>
      </x:c>
      <x:c r="L5" s="6" t="str">
        <x:v>Service interface and site maintenance policy</x:v>
      </x:c>
      <x:c r="M5" s="6" t="str">
        <x:v>Reserves service power without treating a maintenance interface as continuously enabled production equipment</x:v>
      </x:c>
    </x:row>
    <x:row r="6" ht="54" customHeight="1">
      <x:c r="A6" s="6" t="str">
        <x:v>NED-005</x:v>
      </x:c>
      <x:c r="B6" s="6" t="str">
        <x:v>=FC01+CP01-X200</x:v>
      </x:c>
      <x:c r="C6" s="6" t="str">
        <x:v>Terminal</x:v>
      </x:c>
      <x:c r="D6" s="6" t="str">
        <x:v>Reserved eight-position vision terminal group</x:v>
      </x:c>
      <x:c r="E6" s="6" t="str">
        <x:v>24</x:v>
      </x:c>
      <x:c r="F6" s="6" t="str">
        <x:v>0</x:v>
      </x:c>
      <x:c r="G6" s="6" t="str">
        <x:v>0</x:v>
      </x:c>
      <x:c r="H6" s="6" t="str">
        <x:v>Terminal family and accessories TBD</x:v>
      </x:c>
      <x:c r="I6" s="6" t="str">
        <x:v>X200:1-8</x:v>
      </x:c>
      <x:c r="J6" s="6" t="str"/>
      <x:c r="K6" s="6" t="str">
        <x:v>RESERVED</x:v>
      </x:c>
      <x:c r="L6" s="6" t="str">
        <x:v>Terminal family bridging PE FE and disconnect requirements</x:v>
      </x:c>
      <x:c r="M6" s="6" t="str">
        <x:v>Creates a controlled termination boundary for the four provisional vision branches before field hardware is selected</x:v>
      </x:c>
    </x:row>
    <x:row r="7" ht="54" customHeight="1">
      <x:c r="A7" s="6" t="str">
        <x:v>NED-006</x:v>
      </x:c>
      <x:c r="B7" s="6" t="str">
        <x:v>=FC01+CP01-SW100:P5</x:v>
      </x:c>
      <x:c r="C7" s="6" t="str">
        <x:v>Network</x:v>
      </x:c>
      <x:c r="D7" s="6" t="str">
        <x:v>Edge-compute quality-zone access port</x:v>
      </x:c>
      <x:c r="E7" s="6" t="str">
        <x:v>0</x:v>
      </x:c>
      <x:c r="F7" s="6" t="str">
        <x:v>0</x:v>
      </x:c>
      <x:c r="G7" s="6" t="str">
        <x:v>0</x:v>
      </x:c>
      <x:c r="H7" s="6" t="str">
        <x:v>Managed access port VLAN 20</x:v>
      </x:c>
      <x:c r="I7" s="6" t="str">
        <x:v>SW100:P5</x:v>
      </x:c>
      <x:c r="J7" s="6" t="str">
        <x:v>C202</x:v>
      </x:c>
      <x:c r="K7" s="6" t="str">
        <x:v>RESERVED</x:v>
      </x:c>
      <x:c r="L7" s="6" t="str">
        <x:v>Approved switch configuration and edge NIC</x:v>
      </x:c>
      <x:c r="M7" s="6" t="str">
        <x:v>Provides a dedicated managed edge-compute link in the quality zone with an unambiguous cable identity</x:v>
      </x:c>
    </x:row>
    <x:row r="8" ht="54" customHeight="1">
      <x:c r="A8" s="6" t="str">
        <x:v>NED-007</x:v>
      </x:c>
      <x:c r="B8" s="6" t="str">
        <x:v>=FC01+CP01-SW100:P6</x:v>
      </x:c>
      <x:c r="C8" s="6" t="str">
        <x:v>Network</x:v>
      </x:c>
      <x:c r="D8" s="6" t="str">
        <x:v>Camera quality-zone port or approved direct-edge alternative</x:v>
      </x:c>
      <x:c r="E8" s="6" t="str">
        <x:v>0</x:v>
      </x:c>
      <x:c r="F8" s="6" t="str">
        <x:v>0</x:v>
      </x:c>
      <x:c r="G8" s="6" t="str">
        <x:v>0</x:v>
      </x:c>
      <x:c r="H8" s="6" t="str">
        <x:v>Managed access port VLAN 20; PoE not assumed</x:v>
      </x:c>
      <x:c r="I8" s="6" t="str">
        <x:v>SW100:P6</x:v>
      </x:c>
      <x:c r="J8" s="6" t="str">
        <x:v>C205</x:v>
      </x:c>
      <x:c r="K8" s="6" t="str">
        <x:v>RESERVED</x:v>
      </x:c>
      <x:c r="L8" s="6" t="str">
        <x:v>Camera topology bandwidth time sync and cybersecurity approval</x:v>
      </x:c>
      <x:c r="M8" s="6" t="str">
        <x:v>Separates the camera link from the edge link so installation and diagnostics cannot conflate two physical network paths</x:v>
      </x:c>
    </x:row>
    <x:row r="9" ht="54" customHeight="1">
      <x:c r="A9" s="6" t="str">
        <x:v>NED-008</x:v>
      </x:c>
      <x:c r="B9" s="6" t="str">
        <x:v>=FC01+CP01-SW100:P7</x:v>
      </x:c>
      <x:c r="C9" s="6" t="str">
        <x:v>Network</x:v>
      </x:c>
      <x:c r="D9" s="6" t="str">
        <x:v>Disabled-by-default maintenance port</x:v>
      </x:c>
      <x:c r="E9" s="6" t="str">
        <x:v>0</x:v>
      </x:c>
      <x:c r="F9" s="6" t="str">
        <x:v>0</x:v>
      </x:c>
      <x:c r="G9" s="6" t="str">
        <x:v>0</x:v>
      </x:c>
      <x:c r="H9" s="6" t="str">
        <x:v>Enable only in approved maintenance window</x:v>
      </x:c>
      <x:c r="I9" s="6" t="str">
        <x:v>SW100:P7</x:v>
      </x:c>
      <x:c r="J9" s="6" t="str">
        <x:v>C206</x:v>
      </x:c>
      <x:c r="K9" s="6" t="str">
        <x:v>RESERVED</x:v>
      </x:c>
      <x:c r="L9" s="6" t="str">
        <x:v>Site access-control and logging policy</x:v>
      </x:c>
      <x:c r="M9" s="6" t="str">
        <x:v>Creates a uniquely identified maintenance conduit that can remain administratively disabled outside approved work</x:v>
      </x:c>
    </x:row>
    <x:row r="10" ht="54" customHeight="1">
      <x:c r="A10" s="6" t="str">
        <x:v>NED-009</x:v>
      </x:c>
      <x:c r="B10" s="6" t="str">
        <x:v>=FC01+CP01-SW100:P8</x:v>
      </x:c>
      <x:c r="C10" s="6" t="str">
        <x:v>Network</x:v>
      </x:c>
      <x:c r="D10" s="6" t="str">
        <x:v>Future quality-zone spare port</x:v>
      </x:c>
      <x:c r="E10" s="6" t="str">
        <x:v>0</x:v>
      </x:c>
      <x:c r="F10" s="6" t="str">
        <x:v>0</x:v>
      </x:c>
      <x:c r="G10" s="6" t="str">
        <x:v>0</x:v>
      </x:c>
      <x:c r="H10" s="6" t="str">
        <x:v>Administratively disabled until change control</x:v>
      </x:c>
      <x:c r="I10" s="6" t="str">
        <x:v>SW100:P8</x:v>
      </x:c>
      <x:c r="J10" s="6" t="str"/>
      <x:c r="K10" s="6" t="str">
        <x:v>SPARE</x:v>
      </x:c>
      <x:c r="L10" s="6" t="str">
        <x:v>Approved expansion ECR</x:v>
      </x:c>
      <x:c r="M10" s="6" t="str">
        <x:v>Preserves managed expansion capacity without authorizing an unidentified connected device or cable</x:v>
      </x:c>
    </x:row>
    <x:row r="11" ht="54" customHeight="1">
      <x:c r="A11" s="6" t="str">
        <x:v>NED-010</x:v>
      </x:c>
      <x:c r="B11" s="6" t="str">
        <x:v>=FC01+CP01-PE200</x:v>
      </x:c>
      <x:c r="C11" s="6" t="str">
        <x:v>Grounding</x:v>
      </x:c>
      <x:c r="D11" s="6" t="str">
        <x:v>Vision FE PE and shield termination reservation</x:v>
      </x:c>
      <x:c r="E11" s="6" t="str">
        <x:v>0</x:v>
      </x:c>
      <x:c r="F11" s="6" t="str">
        <x:v>0</x:v>
      </x:c>
      <x:c r="G11" s="6" t="str">
        <x:v>0</x:v>
      </x:c>
      <x:c r="H11" s="6" t="str">
        <x:v>Bonding and shield clamps TBD</x:v>
      </x:c>
      <x:c r="I11" s="6" t="str">
        <x:v>PE200</x:v>
      </x:c>
      <x:c r="J11" s="6" t="str"/>
      <x:c r="K11" s="6" t="str">
        <x:v>PROVISIONAL</x:v>
      </x:c>
      <x:c r="L11" s="6" t="str">
        <x:v>Earthing system EMC plan fault current and vendor instructions</x:v>
      </x:c>
      <x:c r="M11" s="6" t="str">
        <x:v>Reserves the functional-earth protective-earth and shield boundary required for an EMC-controlled installation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22.5" hidden="0" customWidth="1"/>
    <x:col min="5" max="5" width="19.3799991607666" hidden="0" customWidth="1"/>
  </x:cols>
  <x:sheetData>
    <x:row r="1" ht="31.5" customHeight="1">
      <x:c r="A1" s="12" t="str">
        <x:v>domain</x:v>
      </x:c>
      <x:c r="B1" s="12" t="str">
        <x:v>version</x:v>
      </x:c>
      <x:c r="C1" s="12" t="str">
        <x:v>platform</x:v>
      </x:c>
      <x:c r="D1" s="12" t="str">
        <x:v>status</x:v>
      </x:c>
      <x:c r="E1" s="12" t="str">
        <x:v>source</x:v>
      </x:c>
    </x:row>
    <x:row r="2" ht="54" customHeight="1">
      <x:c r="A2" s="6" t="str">
        <x:v>DeepStream target</x:v>
      </x:c>
      <x:c r="B2" s="6" t="str">
        <x:v>9.1</x:v>
      </x:c>
      <x:c r="C2" s="6" t="str">
        <x:v>Jetson Orin/Thor or supported x86</x:v>
      </x:c>
      <x:c r="D2" s="6" t="str">
        <x:v>OFFICIAL CURRENT; target image not selected</x:v>
      </x:c>
      <x:c r="E2" s="6" t="str">
        <x:v>https://docs.nvidia.com/metropolis/deepstream/9.1/text/DS_Release_notes.html</x:v>
      </x:c>
    </x:row>
    <x:row r="3" ht="54" customHeight="1">
      <x:c r="A3" s="6" t="str">
        <x:v>Jetson installation</x:v>
      </x:c>
      <x:c r="B3" s="6" t="str">
        <x:v>JetPack 7.2 GA</x:v>
      </x:c>
      <x:c r="C3" s="6" t="str">
        <x:v>Jetson</x:v>
      </x:c>
      <x:c r="D3" s="6" t="str">
        <x:v>PLANNING BASELINE</x:v>
      </x:c>
      <x:c r="E3" s="6" t="str">
        <x:v>https://docs.nvidia.com/metropolis/deepstream/dev-guide/text/DS_Installation.html</x:v>
      </x:c>
    </x:row>
    <x:row r="4" ht="54" customHeight="1">
      <x:c r="A4" s="6" t="str">
        <x:v>DeepStream Jetson TensorRT</x:v>
      </x:c>
      <x:c r="B4" s="6" t="str">
        <x:v>10.16.1.7</x:v>
      </x:c>
      <x:c r="C4" s="6" t="str">
        <x:v>Jetson</x:v>
      </x:c>
      <x:c r="D4" s="6" t="str">
        <x:v>PLATFORM-SPECIFIC COMPATIBILITY</x:v>
      </x:c>
      <x:c r="E4" s="6" t="str">
        <x:v>https://docs.nvidia.com/metropolis/deepstream/dev-guide/text/DS_Migration_guide.html</x:v>
      </x:c>
    </x:row>
    <x:row r="5" ht="54" customHeight="1">
      <x:c r="A5" s="6" t="str">
        <x:v>TAO skill bank</x:v>
      </x:c>
      <x:c r="B5" s="6" t="str">
        <x:v>7.0.1</x:v>
      </x:c>
      <x:c r="C5" s="6" t="str">
        <x:v>Approved Linux/container backend</x:v>
      </x:c>
      <x:c r="D5" s="6" t="str">
        <x:v>NOT INSTALLED OR EXECUTED</x:v>
      </x:c>
      <x:c r="E5" s="6" t="str">
        <x:v>https://docs.nvidia.com/tao/tao-toolkit/latest/text/release_notes.html</x:v>
      </x:c>
    </x:row>
    <x:row r="6" ht="54" customHeight="1">
      <x:c r="A6" s="6" t="str">
        <x:v>Generic TensorRT</x:v>
      </x:c>
      <x:c r="B6" s="6" t="str">
        <x:v>11.1</x:v>
      </x:c>
      <x:c r="C6" s="6" t="str">
        <x:v>Generic supported platforms</x:v>
      </x:c>
      <x:c r="D6" s="6" t="str">
        <x:v>CURRENT GENERIC; NOT JETSON TARGET EVIDENCE</x:v>
      </x:c>
      <x:c r="E6" s="6" t="str">
        <x:v>https://docs.nvidia.com/deeplearning/tensorrt/latest/getting-started/release-notes-11/11.1.0.html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33.75" hidden="0" customWidth="1"/>
    <x:col min="3" max="3" width="33.75" hidden="0" customWidth="1"/>
    <x:col min="4" max="4" width="19.3799991607666" hidden="0" customWidth="1"/>
    <x:col min="5" max="5" width="19.3799991607666" hidden="0" customWidth="1"/>
    <x:col min="6" max="6" width="33.75" hidden="0" customWidth="1"/>
    <x:col min="7" max="7" width="19.3799991607666" hidden="0" customWidth="1"/>
  </x:cols>
  <x:sheetData>
    <x:row r="1" ht="31.5" customHeight="1">
      <x:c r="A1" s="12" t="str">
        <x:v>gap_id</x:v>
      </x:c>
      <x:c r="B1" s="12" t="str">
        <x:v>requirement_area</x:v>
      </x:c>
      <x:c r="C1" s="12" t="str">
        <x:v>inherited_evidence</x:v>
      </x:c>
      <x:c r="D1" s="12" t="str">
        <x:v>revision_f_action</x:v>
      </x:c>
      <x:c r="E1" s="12" t="str">
        <x:v>verification</x:v>
      </x:c>
      <x:c r="F1" s="12" t="str">
        <x:v>evidence_class</x:v>
      </x:c>
      <x:c r="G1" s="12" t="str">
        <x:v>external_closure</x:v>
      </x:c>
    </x:row>
    <x:row r="2" ht="54" customHeight="1">
      <x:c r="A2" s="6" t="str">
        <x:v>GF-001</x:v>
      </x:c>
      <x:c r="B2" s="6" t="str">
        <x:v>Release configuration control</x:v>
      </x:c>
      <x:c r="C2" s="6" t="str">
        <x:v>Revision-E deterministic overlay and clean-clone release</x:v>
      </x:c>
      <x:c r="D2" s="6" t="str">
        <x:v>Add Revision-F overlay ECR document/gate updates CI manifest and clean-clone workflow</x:v>
      </x:c>
      <x:c r="E2" s="6" t="str">
        <x:v>Generator parity plus manifest and fresh clone</x:v>
      </x:c>
      <x:c r="F2" s="6" t="str">
        <x:v>LOCALLY_ACHIEVABLE</x:v>
      </x:c>
      <x:c r="G2" s="6" t="str">
        <x:v>None after final clean-clone verification</x:v>
      </x:c>
    </x:row>
    <x:row r="3" ht="54" customHeight="1">
      <x:c r="A3" s="6" t="str">
        <x:v>GF-002</x:v>
      </x:c>
      <x:c r="B3" s="6" t="str">
        <x:v>Camera and input abstraction</x:v>
      </x:c>
      <x:c r="C3" s="6" t="str">
        <x:v>No production backend in inherited main entrypoint</x:v>
      </x:c>
      <x:c r="D3" s="6" t="str">
        <x:v>Implement camera interface directory recorded-image and clearly synthetic input</x:v>
      </x:c>
      <x:c r="E3" s="6" t="str">
        <x:v>Unit tests with synthetic fixtures</x:v>
      </x:c>
      <x:c r="F3" s="6" t="str">
        <x:v>LOCALLY_ACHIEVABLE</x:v>
      </x:c>
      <x:c r="G3" s="6" t="str">
        <x:v>Representative camera hardware/data for production acceptance</x:v>
      </x:c>
    </x:row>
    <x:row r="4" ht="54" customHeight="1">
      <x:c r="A4" s="6" t="str">
        <x:v>GF-003</x:v>
      </x:c>
      <x:c r="B4" s="6" t="str">
        <x:v>Preprocess/model/postprocess pipeline</x:v>
      </x:c>
      <x:c r="C4" s="6" t="str">
        <x:v>Protocol and no-model backend only</x:v>
      </x:c>
      <x:c r="D4" s="6" t="str">
        <x:v>Implement bounded adapters preprocessing postprocessing and mock backend</x:v>
      </x:c>
      <x:c r="E4" s="6" t="str">
        <x:v>Unit and integration tests</x:v>
      </x:c>
      <x:c r="F4" s="6" t="str">
        <x:v>LOCALLY_ACHIEVABLE</x:v>
      </x:c>
      <x:c r="G4" s="6" t="str">
        <x:v>Approved trained model and target runtime</x:v>
      </x:c>
    </x:row>
    <x:row r="5" ht="54" customHeight="1">
      <x:c r="A5" s="6" t="str">
        <x:v>GF-004</x:v>
      </x:c>
      <x:c r="B5" s="6" t="str">
        <x:v>Configuration integrity</x:v>
      </x:c>
      <x:c r="C5" s="6" t="str">
        <x:v>Typed procedural configuration checks</x:v>
      </x:c>
      <x:c r="D5" s="6" t="str">
        <x:v>Add versioned schema unknown-key rejection semantic validation and bundle hashes</x:v>
      </x:c>
      <x:c r="E5" s="6" t="str">
        <x:v>Schema/configuration tests</x:v>
      </x:c>
      <x:c r="F5" s="6" t="str">
        <x:v>LOCALLY_ACHIEVABLE</x:v>
      </x:c>
      <x:c r="G5" s="6" t="str">
        <x:v>Site secrets and production PKI configuration</x:v>
      </x:c>
    </x:row>
    <x:row r="6" ht="54" customHeight="1">
      <x:c r="A6" s="6" t="str">
        <x:v>GF-005</x:v>
      </x:c>
      <x:c r="B6" s="6" t="str">
        <x:v>Durable audit records</x:v>
      </x:c>
      <x:c r="C6" s="6" t="str">
        <x:v>Structured logs and metrics only</x:v>
      </x:c>
      <x:c r="D6" s="6" t="str">
        <x:v>Add bounded durable event store and fail-closed storage behavior</x:v>
      </x:c>
      <x:c r="E6" s="6" t="str">
        <x:v>Write/reopen/corrupt/unwritable tests</x:v>
      </x:c>
      <x:c r="F6" s="6" t="str">
        <x:v>LOCALLY_ACHIEVABLE</x:v>
      </x:c>
      <x:c r="G6" s="6" t="str">
        <x:v>Production storage sizing and retention owner</x:v>
      </x:c>
    </x:row>
    <x:row r="7" ht="54" customHeight="1">
      <x:c r="A7" s="6" t="str">
        <x:v>GF-006</x:v>
      </x:c>
      <x:c r="B7" s="6" t="str">
        <x:v>Expanded PLC-AI contract</x:v>
      </x:c>
      <x:c r="C7" s="6" t="str">
        <x:v>27-node encrypted immutable transaction</x:v>
      </x:c>
      <x:c r="D7" s="6" t="str">
        <x:v>Add capture processing disposition reason confidence identity timestamp and health nodes</x:v>
      </x:c>
      <x:c r="E7" s="6" t="str">
        <x:v>47-node schedule/SCL/adapter parity plus tests</x:v>
      </x:c>
      <x:c r="F7" s="6" t="str">
        <x:v>LOCALLY_ACHIEVABLE</x:v>
      </x:c>
      <x:c r="G7" s="6" t="str">
        <x:v>Native TIA compile and production PLC endpoint</x:v>
      </x:c>
    </x:row>
    <x:row r="8" ht="54" customHeight="1">
      <x:c r="A8" s="6" t="str">
        <x:v>GF-007</x:v>
      </x:c>
      <x:c r="B8" s="6" t="str">
        <x:v>AI fault matrix</x:v>
      </x:c>
      <x:c r="C8" s="6" t="str">
        <x:v>Selected failures across 32 process scenarios and unit tests</x:v>
      </x:c>
      <x:c r="D8" s="6" t="str">
        <x:v>Add 28 named structured behavioral fault injections and invariant checks</x:v>
      </x:c>
      <x:c r="E8" s="6" t="str">
        <x:v>Revision-F behavioral-model tests and deterministic outputs</x:v>
      </x:c>
      <x:c r="F8" s="6" t="str">
        <x:v>LOCALLY_ACHIEVABLE</x:v>
      </x:c>
      <x:c r="G8" s="6" t="str">
        <x:v>Repeat applicable cases in PLCSIM/HIL/FAT</x:v>
      </x:c>
    </x:row>
    <x:row r="9" ht="54" customHeight="1">
      <x:c r="A9" s="6" t="str">
        <x:v>GF-008</x:v>
      </x:c>
      <x:c r="B9" s="6" t="str">
        <x:v>Dataset manifest and splitting</x:v>
      </x:c>
      <x:c r="C9" s="6" t="str">
        <x:v>Empty manifest and brief guide</x:v>
      </x:c>
      <x:c r="D9" s="6" t="str">
        <x:v>Add hashing validation duplicate/near-duplicate framework lot-grouped split and QA tools</x:v>
      </x:c>
      <x:c r="E9" s="6" t="str">
        <x:v>Synthetic-fixture tests only</x:v>
      </x:c>
      <x:c r="F9" s="6" t="str">
        <x:v>LOCALLY_ACHIEVABLE</x:v>
      </x:c>
      <x:c r="G9" s="6" t="str">
        <x:v>Representative multi-lot labeled dataset</x:v>
      </x:c>
    </x:row>
    <x:row r="10" ht="54" customHeight="1">
      <x:c r="A10" s="6" t="str">
        <x:v>GF-009</x:v>
      </x:c>
      <x:c r="B10" s="6" t="str">
        <x:v>Evaluation and thresholds</x:v>
      </x:c>
      <x:c r="C10" s="6" t="str">
        <x:v>Unexecuted report and model card</x:v>
      </x:c>
      <x:c r="D10" s="6" t="str">
        <x:v>Add schemas confusion/per-class FAR/FRR threshold and latency harnesses</x:v>
      </x:c>
      <x:c r="E10" s="6" t="str">
        <x:v>Synthetic-fixture tooling tests only</x:v>
      </x:c>
      <x:c r="F10" s="6" t="str">
        <x:v>LOCALLY_ACHIEVABLE</x:v>
      </x:c>
      <x:c r="G10" s="6" t="str">
        <x:v>Approved held-out real dataset and target measurements</x:v>
      </x:c>
    </x:row>
    <x:row r="11" ht="54" customHeight="1">
      <x:c r="A11" s="6" t="str">
        <x:v>GF-010</x:v>
      </x:c>
      <x:c r="B11" s="6" t="str">
        <x:v>Optics engineering</x:v>
      </x:c>
      <x:c r="C11" s="6" t="str">
        <x:v>Short FOV note and provisional concept</x:v>
      </x:c>
      <x:c r="D11" s="6" t="str">
        <x:v>Add optical method trade study commissioning calibration focus-lock and image checklist</x:v>
      </x:c>
      <x:c r="E11" s="6" t="str">
        <x:v>Document/link/consistency validation</x:v>
      </x:c>
      <x:c r="F11" s="6" t="str">
        <x:v>LOCALLY_ACHIEVABLE</x:v>
      </x:c>
      <x:c r="G11" s="6" t="str">
        <x:v>Physical bottle/liquid/camera/lens/light trial</x:v>
      </x:c>
    </x:row>
    <x:row r="12" ht="54" customHeight="1">
      <x:c r="A12" s="6" t="str">
        <x:v>GF-011</x:v>
      </x:c>
      <x:c r="B12" s="6" t="str">
        <x:v>HMI diagnostics</x:v>
      </x:c>
      <x:c r="C12" s="6" t="str">
        <x:v>Six inherited vision HMI tags</x:v>
      </x:c>
      <x:c r="D12" s="6" t="str">
        <x:v>Add identity disposition reasons confidence age latency health maintenance and troubleshooting definitions</x:v>
      </x:c>
      <x:c r="E12" s="6" t="str">
        <x:v>Schedule/SCL/HMI contract tests</x:v>
      </x:c>
      <x:c r="F12" s="6" t="str">
        <x:v>LOCALLY_ACHIEVABLE</x:v>
      </x:c>
      <x:c r="G12" s="6" t="str">
        <x:v>Native WinCC compile and usability review</x:v>
      </x:c>
    </x:row>
    <x:row r="13" ht="54" customHeight="1">
      <x:c r="A13" s="6" t="str">
        <x:v>GF-012</x:v>
      </x:c>
      <x:c r="B13" s="6" t="str">
        <x:v>Electrical integration</x:v>
      </x:c>
      <x:c r="C13" s="6" t="str">
        <x:v>One aggregate 100 W placeholder</x:v>
      </x:c>
      <x:c r="D13" s="6" t="str">
        <x:v>Partition protected edge camera lighting service branches and reserve terminals/cables/ports</x:v>
      </x:c>
      <x:c r="E13" s="6" t="str">
        <x:v>Schedule totals and cross-reference checks</x:v>
      </x:c>
      <x:c r="F13" s="6" t="str">
        <x:v>LOCALLY_ACHIEVABLE</x:v>
      </x:c>
      <x:c r="G13" s="6" t="str">
        <x:v>Final devices/site/protection/thermal data</x:v>
      </x:c>
    </x:row>
    <x:row r="14" ht="54" customHeight="1">
      <x:c r="A14" s="6" t="str">
        <x:v>GF-013</x:v>
      </x:c>
      <x:c r="B14" s="6" t="str">
        <x:v>QElectroTech native evidence</x:v>
      </x:c>
      <x:c r="C14" s="6" t="str">
        <x:v>Corrected source 24/24 static and 6/6 contracts</x:v>
      </x:c>
      <x:c r="D14" s="6" t="str">
        <x:v>Retry exact-hash native reopen/export and retain delta separately</x:v>
      </x:c>
      <x:c r="E14" s="6" t="str">
        <x:v>Native executable/hash/export/page evidence</x:v>
      </x:c>
      <x:c r="F14" s="6" t="str">
        <x:v>LOCALLY_ACHIEVABLE</x:v>
      </x:c>
      <x:c r="G14" s="6" t="str">
        <x:v>Qualified construction review and Revision-F native schematic update</x:v>
      </x:c>
    </x:row>
    <x:row r="15" ht="54" customHeight="1">
      <x:c r="A15" s="6" t="str">
        <x:v>GF-014</x:v>
      </x:c>
      <x:c r="B15" s="6" t="str">
        <x:v>Panel CAD</x:v>
      </x:c>
      <x:c r="C15" s="6" t="str">
        <x:v>Revision-E selected architecture 80/80 native verification</x:v>
      </x:c>
      <x:c r="D15" s="6" t="str">
        <x:v>Retain verified geometry; document provisional carrier/cooling boundary</x:v>
      </x:c>
      <x:c r="E15" s="6" t="str">
        <x:v>Inherited native evidence plus unchanged-hash check</x:v>
      </x:c>
      <x:c r="F15" s="6" t="str">
        <x:v>VERIFIED_BASELINE</x:v>
      </x:c>
      <x:c r="G15" s="6" t="str">
        <x:v>Final carrier/cooling/vendor clearances</x:v>
      </x:c>
    </x:row>
    <x:row r="16" ht="54" customHeight="1">
      <x:c r="A16" s="6" t="str">
        <x:v>GF-015</x:v>
      </x:c>
      <x:c r="B16" s="6" t="str">
        <x:v>NVIDIA version policy</x:v>
      </x:c>
      <x:c r="C16" s="6" t="str">
        <x:v>DeepStream 9.1 planning baseline</x:v>
      </x:c>
      <x:c r="D16" s="6" t="str">
        <x:v>Verify DeepStream 9.1 TAO 7.0.1 TensorRT 11.1 and platform-specific compatibility</x:v>
      </x:c>
      <x:c r="E16" s="6" t="str">
        <x:v>Official-source register and toolchain audit</x:v>
      </x:c>
      <x:c r="F16" s="6" t="str">
        <x:v>LOCALLY_ACHIEVABLE</x:v>
      </x:c>
      <x:c r="G16" s="6" t="str">
        <x:v>Approved target image and lifecycle owner</x:v>
      </x:c>
    </x:row>
    <x:row r="17" ht="54" customHeight="1">
      <x:c r="A17" s="6" t="str">
        <x:v>GF-016</x:v>
      </x:c>
      <x:c r="B17" s="6" t="str">
        <x:v>NVIDIA runtime execution</x:v>
      </x:c>
      <x:c r="C17" s="6" t="str">
        <x:v>RTX 5060 driver only</x:v>
      </x:c>
      <x:c r="D17" s="6" t="str">
        <x:v>Record exact absent CUDA/TAO/TensorRT/DeepStream/Docker/WSL evidence</x:v>
      </x:c>
      <x:c r="E17" s="6" t="str">
        <x:v>Toolchain audit</x:v>
      </x:c>
      <x:c r="F17" s="6" t="str">
        <x:v>BLOCKED_SOFTWARE_RUNTIME</x:v>
      </x:c>
      <x:c r="G17" s="6" t="str">
        <x:v>Install approved Linux/container stack and target hardware</x:v>
      </x:c>
    </x:row>
    <x:row r="18" ht="54" customHeight="1">
      <x:c r="A18" s="6" t="str">
        <x:v>GF-017</x:v>
      </x:c>
      <x:c r="B18" s="6" t="str">
        <x:v>Siemens native execution</x:v>
      </x:c>
      <x:c r="C18" s="6" t="str">
        <x:v>TIA V20 components observed</x:v>
      </x:c>
      <x:c r="D18" s="6" t="str">
        <x:v>Maintain import-ready artifacts and exact closure runbook</x:v>
      </x:c>
      <x:c r="E18" s="6" t="str">
        <x:v>Source contracts only</x:v>
      </x:c>
      <x:c r="F18" s="6" t="str">
        <x:v>BLOCKED_LICENSE_SOFTWARE</x:v>
      </x:c>
      <x:c r="G18" s="6" t="str">
        <x:v>Authorized licensed TIA/WinCC/Startdrive/PLCSIM engineer</x:v>
      </x:c>
    </x:row>
    <x:row r="19" ht="54" customHeight="1">
      <x:c r="A19" s="6" t="str">
        <x:v>GF-018</x:v>
      </x:c>
      <x:c r="B19" s="6" t="str">
        <x:v>Physical validation</x:v>
      </x:c>
      <x:c r="C19" s="6" t="str">
        <x:v>None</x:v>
      </x:c>
      <x:c r="D19" s="6" t="str">
        <x:v>Issue commissioning/fault/maintenance procedures and acceptance records</x:v>
      </x:c>
      <x:c r="E19" s="6" t="str">
        <x:v>Procedure review only</x:v>
      </x:c>
      <x:c r="F19" s="6" t="str">
        <x:v>BLOCKED_PHYSICAL</x:v>
      </x:c>
      <x:c r="G19" s="6" t="str">
        <x:v>Execute optical trial FAT SAT and commissioning</x:v>
      </x:c>
    </x:row>
    <x:row r="20" ht="54" customHeight="1">
      <x:c r="A20" s="6" t="str">
        <x:v>GF-019</x:v>
      </x:c>
      <x:c r="B20" s="6" t="str">
        <x:v>Functional safety</x:v>
      </x:c>
      <x:c r="C20" s="6" t="str">
        <x:v>Conceptual boundary only</x:v>
      </x:c>
      <x:c r="D20" s="6" t="str">
        <x:v>Retain explicit non-safety ownership and prohibited-use statement</x:v>
      </x:c>
      <x:c r="E20" s="6" t="str">
        <x:v>Text and architecture checks</x:v>
      </x:c>
      <x:c r="F20" s="6" t="str">
        <x:v>BLOCKED_QUALIFIED_PERSON</x:v>
      </x:c>
      <x:c r="G20" s="6" t="str">
        <x:v>Project-specific qualified machinery-safety lifecycle</x:v>
      </x:c>
    </x:row>
    <x:row r="21" ht="54" customHeight="1">
      <x:c r="A21" s="6" t="str">
        <x:v>GF-020</x:v>
      </x:c>
      <x:c r="B21" s="6" t="str">
        <x:v>Visual release artifacts</x:v>
      </x:c>
      <x:c r="C21" s="6" t="str">
        <x:v>21-sheet workbook and five-page Revision-E PDF</x:v>
      </x:c>
      <x:c r="D21" s="6" t="str">
        <x:v>Update render and inspect every modified sheet/page</x:v>
      </x:c>
      <x:c r="E21" s="6" t="str">
        <x:v>Formula scan deterministic hashes and visual review</x:v>
      </x:c>
      <x:c r="F21" s="6" t="str">
        <x:v>LOCALLY_ACHIEVABLE</x:v>
      </x:c>
      <x:c r="G21" s="6" t="str">
        <x:v>None after final controlled review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</x:cols>
  <x:sheetData>
    <x:row r="1" ht="31.5" customHeight="1">
      <x:c r="A1" s="12" t="str">
        <x:v>node</x:v>
      </x:c>
      <x:c r="B1" s="12" t="str">
        <x:v>ip</x:v>
      </x:c>
      <x:c r="C1" s="12" t="str">
        <x:v>vlan</x:v>
      </x:c>
      <x:c r="D1" s="12" t="str">
        <x:v>switch_port</x:v>
      </x:c>
      <x:c r="E1" s="12" t="str">
        <x:v>zone</x:v>
      </x:c>
      <x:c r="F1" s="12" t="str">
        <x:v>owner</x:v>
      </x:c>
      <x:c r="G1" s="12" t="str">
        <x:v>role</x:v>
      </x:c>
      <x:c r="H1" s="12" t="str">
        <x:v>allowed_services</x:v>
      </x:c>
    </x:row>
    <x:row r="2" ht="27" customHeight="1">
      <x:c r="A2" s="6" t="str">
        <x:v>PLC-A100</x:v>
      </x:c>
      <x:c r="B2" s="6" t="str">
        <x:v>192.168.10.10</x:v>
      </x:c>
      <x:c r="C2" s="6" t="str">
        <x:v>10</x:v>
      </x:c>
      <x:c r="D2" s="6" t="str">
        <x:v>XC208 P1</x:v>
      </x:c>
      <x:c r="E2" s="6" t="str">
        <x:v>CONTROL</x:v>
      </x:c>
      <x:c r="F2" s="6" t="str">
        <x:v>Controls</x:v>
      </x:c>
      <x:c r="G2" s="6" t="str">
        <x:v>PROFINET controller / OPC UA server</x:v>
      </x:c>
      <x:c r="H2" s="6" t="str">
        <x:v>PROFINET local; OPC UA TCP 4840 from named vision client</x:v>
      </x:c>
    </x:row>
    <x:row r="3" ht="27" customHeight="1">
      <x:c r="A3" s="6" t="str">
        <x:v>HMI-H100</x:v>
      </x:c>
      <x:c r="B3" s="6" t="str">
        <x:v>192.168.10.20</x:v>
      </x:c>
      <x:c r="C3" s="6" t="str">
        <x:v>10</x:v>
      </x:c>
      <x:c r="D3" s="6" t="str">
        <x:v>XC208 P2</x:v>
      </x:c>
      <x:c r="E3" s="6" t="str">
        <x:v>CONTROL</x:v>
      </x:c>
      <x:c r="F3" s="6" t="str">
        <x:v>Controls</x:v>
      </x:c>
      <x:c r="G3" s="6" t="str">
        <x:v>Unified operator panel</x:v>
      </x:c>
      <x:c r="H3" s="6" t="str">
        <x:v>HMI-to-PLC only</x:v>
      </x:c>
    </x:row>
    <x:row r="4" ht="27" customHeight="1">
      <x:c r="A4" s="6" t="str">
        <x:v>VFD-U100</x:v>
      </x:c>
      <x:c r="B4" s="6" t="str">
        <x:v>192.168.10.31</x:v>
      </x:c>
      <x:c r="C4" s="6" t="str">
        <x:v>10</x:v>
      </x:c>
      <x:c r="D4" s="6" t="str">
        <x:v>XC208 P3</x:v>
      </x:c>
      <x:c r="E4" s="6" t="str">
        <x:v>CONTROL</x:v>
      </x:c>
      <x:c r="F4" s="6" t="str">
        <x:v>Drives</x:v>
      </x:c>
      <x:c r="G4" s="6" t="str">
        <x:v>Conveyor G120C PN</x:v>
      </x:c>
      <x:c r="H4" s="6" t="str">
        <x:v>PROFINET cyclic/diagnostic only</x:v>
      </x:c>
    </x:row>
    <x:row r="5" ht="27" customHeight="1">
      <x:c r="A5" s="6" t="str">
        <x:v>VFD-U101</x:v>
      </x:c>
      <x:c r="B5" s="6" t="str">
        <x:v>192.168.10.32</x:v>
      </x:c>
      <x:c r="C5" s="6" t="str">
        <x:v>10</x:v>
      </x:c>
      <x:c r="D5" s="6" t="str">
        <x:v>XC208 P4</x:v>
      </x:c>
      <x:c r="E5" s="6" t="str">
        <x:v>CONTROL</x:v>
      </x:c>
      <x:c r="F5" s="6" t="str">
        <x:v>Drives</x:v>
      </x:c>
      <x:c r="G5" s="6" t="str">
        <x:v>Pump G120C PN</x:v>
      </x:c>
      <x:c r="H5" s="6" t="str">
        <x:v>PROFINET cyclic/diagnostic only</x:v>
      </x:c>
    </x:row>
    <x:row r="6" ht="27" customHeight="1">
      <x:c r="A6" s="6" t="str">
        <x:v>VISION-PC200</x:v>
      </x:c>
      <x:c r="B6" s="6" t="str">
        <x:v>192.168.20.10</x:v>
      </x:c>
      <x:c r="C6" s="6" t="str">
        <x:v>20</x:v>
      </x:c>
      <x:c r="D6" s="6" t="str">
        <x:v>XC208 P5</x:v>
      </x:c>
      <x:c r="E6" s="6" t="str">
        <x:v>QUALITY</x:v>
      </x:c>
      <x:c r="F6" s="6" t="str">
        <x:v>Vision</x:v>
      </x:c>
      <x:c r="G6" s="6" t="str">
        <x:v>OPC UA client + inference</x:v>
      </x:c>
      <x:c r="H6" s="6" t="str">
        <x:v>OPC UA TCP 4840 to PLC; authenticated time/logging per site policy</x:v>
      </x:c>
    </x:row>
    <x:row r="7" ht="27" customHeight="1">
      <x:c r="A7" s="6" t="str">
        <x:v>ENG-SERVICE</x:v>
      </x:c>
      <x:c r="B7" s="6" t="str">
        <x:v>192.168.99.0/24</x:v>
      </x:c>
      <x:c r="C7" s="6" t="str">
        <x:v>99</x:v>
      </x:c>
      <x:c r="D7" s="6" t="str">
        <x:v>XC208 P6</x:v>
      </x:c>
      <x:c r="E7" s="6" t="str">
        <x:v>ENGINEERING</x:v>
      </x:c>
      <x:c r="F7" s="6" t="str">
        <x:v>OT</x:v>
      </x:c>
      <x:c r="G7" s="6" t="str">
        <x:v>Temporary service</x:v>
      </x:c>
      <x:c r="H7" s="6" t="str">
        <x:v>Disabled in production; approved maintenance window only</x:v>
      </x:c>
    </x:row>
    <x:row r="8" ht="27" customHeight="1">
      <x:c r="A8" s="6" t="str">
        <x:v>FW-S615</x:v>
      </x:c>
      <x:c r="B8" s="6" t="str">
        <x:v>Zone gateways</x:v>
      </x:c>
      <x:c r="C8" s="6" t="str">
        <x:v>10/20/99</x:v>
      </x:c>
      <x:c r="D8" s="6" t="str">
        <x:v>XC208 P7 trunk</x:v>
      </x:c>
      <x:c r="E8" s="6" t="str">
        <x:v>BOUNDARY</x:v>
      </x:c>
      <x:c r="F8" s="6" t="str">
        <x:v>OT security</x:v>
      </x:c>
      <x:c r="G8" s="6" t="str">
        <x:v>Router/firewall</x:v>
      </x:c>
      <x:c r="H8" s="6" t="str">
        <x:v>Deny by default; explicit stateful allow list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0.630000114440918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22.5" hidden="0" customWidth="1"/>
    <x:col min="14" max="14" width="19.3799991607666" hidden="0" customWidth="1"/>
    <x:col min="15" max="15" width="19.3799991607666" hidden="0" customWidth="1"/>
    <x:col min="16" max="16" width="19.3799991607666" hidden="0" customWidth="1"/>
    <x:col min="17" max="17" width="22.5" hidden="0" customWidth="1"/>
  </x:cols>
  <x:sheetData>
    <x:row r="1" ht="31.5" customHeight="1">
      <x:c r="A1" s="12" t="str">
        <x:v>terminal</x:v>
      </x:c>
      <x:c r="B1" s="12" t="str">
        <x:v>full_designation</x:v>
      </x:c>
      <x:c r="C1" s="12" t="str">
        <x:v>signal</x:v>
      </x:c>
      <x:c r="D1" s="12" t="str">
        <x:v>function</x:v>
      </x:c>
      <x:c r="E1" s="12" t="str">
        <x:v>cable_id</x:v>
      </x:c>
      <x:c r="F1" s="12" t="str">
        <x:v>core</x:v>
      </x:c>
      <x:c r="G1" s="12" t="str">
        <x:v>field_device</x:v>
      </x:c>
      <x:c r="H1" s="12" t="str">
        <x:v>field_designation</x:v>
      </x:c>
      <x:c r="I1" s="12" t="str">
        <x:v>field_pin</x:v>
      </x:c>
      <x:c r="J1" s="12" t="str">
        <x:v>module</x:v>
      </x:c>
      <x:c r="K1" s="12" t="str">
        <x:v>module_designation</x:v>
      </x:c>
      <x:c r="L1" s="12" t="str">
        <x:v>module_terminal</x:v>
      </x:c>
      <x:c r="M1" s="12" t="str">
        <x:v>plc_address</x:v>
      </x:c>
      <x:c r="N1" s="12" t="str">
        <x:v>potential</x:v>
      </x:c>
      <x:c r="O1" s="12" t="str">
        <x:v>wire_no</x:v>
      </x:c>
      <x:c r="P1" s="12" t="str">
        <x:v>shield_or_common</x:v>
      </x:c>
      <x:c r="Q1" s="12" t="str">
        <x:v>status</x:v>
      </x:c>
    </x:row>
    <x:row r="2" ht="27" customHeight="1">
      <x:c r="A2" s="6" t="str">
        <x:v>X100:1</x:v>
      </x:c>
      <x:c r="B2" s="6" t="str">
        <x:v>=FC01+CP01-X100</x:v>
      </x:c>
      <x:c r="C2" s="6" t="str">
        <x:v>GUARD_CLOSED_STATUS</x:v>
      </x:c>
      <x:c r="D2" s="6" t="str">
        <x:v>Guard-monitor contact signal</x:v>
      </x:c>
      <x:c r="E2" s="6" t="str">
        <x:v>C001</x:v>
      </x:c>
      <x:c r="F2" s="6" t="str">
        <x:v>1</x:v>
      </x:c>
      <x:c r="G2" s="6" t="str">
        <x:v>-S102</x:v>
      </x:c>
      <x:c r="H2" s="6" t="str">
        <x:v>=FC01+FLD-S102</x:v>
      </x:c>
      <x:c r="I2" s="6" t="str">
        <x:v>2</x:v>
      </x:c>
      <x:c r="J2" s="6" t="str">
        <x:v>-A102</x:v>
      </x:c>
      <x:c r="K2" s="6" t="str">
        <x:v>=FC01+CP01-A102</x:v>
      </x:c>
      <x:c r="L2" s="6" t="str">
        <x:v>1</x:v>
      </x:c>
      <x:c r="M2" s="6" t="str">
        <x:v>I0.1</x:v>
      </x:c>
      <x:c r="N2" s="6" t="str">
        <x:v>24 VDC switched</x:v>
      </x:c>
      <x:c r="O2" s="6" t="str">
        <x:v>W0003</x:v>
      </x:c>
      <x:c r="P2" s="6" t="str"/>
      <x:c r="Q2" s="6" t="str">
        <x:v>Controlled Rev-D topology; conductor size/terminal family and native QET continuity verification remain open</x:v>
      </x:c>
    </x:row>
    <x:row r="3" ht="27" customHeight="1">
      <x:c r="A3" s="6" t="str">
        <x:v>X100:2</x:v>
      </x:c>
      <x:c r="B3" s="6" t="str">
        <x:v>=FC01+CP01-X100</x:v>
      </x:c>
      <x:c r="C3" s="6" t="str">
        <x:v>GUARD_CLOSED_STATUS</x:v>
      </x:c>
      <x:c r="D3" s="6" t="str">
        <x:v>Guard-monitor contact supply</x:v>
      </x:c>
      <x:c r="E3" s="6" t="str">
        <x:v>C001</x:v>
      </x:c>
      <x:c r="F3" s="6" t="str">
        <x:v>2</x:v>
      </x:c>
      <x:c r="G3" s="6" t="str">
        <x:v>-S102</x:v>
      </x:c>
      <x:c r="H3" s="6" t="str">
        <x:v>=FC01+FLD-S102</x:v>
      </x:c>
      <x:c r="I3" s="6" t="str">
        <x:v>1</x:v>
      </x:c>
      <x:c r="J3" s="6" t="str">
        <x:v>-A102</x:v>
      </x:c>
      <x:c r="K3" s="6" t="str">
        <x:v>=FC01+CP01-A102</x:v>
      </x:c>
      <x:c r="L3" s="6" t="str">
        <x:v>1</x:v>
      </x:c>
      <x:c r="M3" s="6" t="str">
        <x:v>I0.1</x:v>
      </x:c>
      <x:c r="N3" s="6" t="str">
        <x:v>+24VDC fused</x:v>
      </x:c>
      <x:c r="O3" s="6" t="str">
        <x:v>W0004</x:v>
      </x:c>
      <x:c r="P3" s="6" t="str"/>
      <x:c r="Q3" s="6" t="str">
        <x:v>Controlled Rev-D topology; conductor size/terminal family and native QET continuity verification remain open</x:v>
      </x:c>
    </x:row>
    <x:row r="4" ht="27" customHeight="1">
      <x:c r="A4" s="6" t="str">
        <x:v>X100:3</x:v>
      </x:c>
      <x:c r="B4" s="6" t="str">
        <x:v>=FC01+CP01-X100</x:v>
      </x:c>
      <x:c r="C4" s="6" t="str">
        <x:v>AIR_PRESSURE_OK</x:v>
      </x:c>
      <x:c r="D4" s="6" t="str">
        <x:v>PNP signal</x:v>
      </x:c>
      <x:c r="E4" s="6" t="str">
        <x:v>C002</x:v>
      </x:c>
      <x:c r="F4" s="6" t="str">
        <x:v>1</x:v>
      </x:c>
      <x:c r="G4" s="6" t="str">
        <x:v>-B100</x:v>
      </x:c>
      <x:c r="H4" s="6" t="str">
        <x:v>=FC01+FLD-B100</x:v>
      </x:c>
      <x:c r="I4" s="6" t="str">
        <x:v>4</x:v>
      </x:c>
      <x:c r="J4" s="6" t="str">
        <x:v>-A102</x:v>
      </x:c>
      <x:c r="K4" s="6" t="str">
        <x:v>=FC01+CP01-A102</x:v>
      </x:c>
      <x:c r="L4" s="6" t="str">
        <x:v>2</x:v>
      </x:c>
      <x:c r="M4" s="6" t="str">
        <x:v>I0.2</x:v>
      </x:c>
      <x:c r="N4" s="6" t="str">
        <x:v>24 VDC switched</x:v>
      </x:c>
      <x:c r="O4" s="6" t="str">
        <x:v>W0005</x:v>
      </x:c>
      <x:c r="P4" s="6" t="str"/>
      <x:c r="Q4" s="6" t="str">
        <x:v>Controlled Rev-D topology; conductor size/terminal family and native QET continuity verification remain open</x:v>
      </x:c>
    </x:row>
    <x:row r="5" ht="27" customHeight="1">
      <x:c r="A5" s="6" t="str">
        <x:v>X100:4</x:v>
      </x:c>
      <x:c r="B5" s="6" t="str">
        <x:v>=FC01+CP01-X100</x:v>
      </x:c>
      <x:c r="C5" s="6" t="str">
        <x:v>AIR_PRESSURE_OK</x:v>
      </x:c>
      <x:c r="D5" s="6" t="str">
        <x:v>Sensor/interface supply</x:v>
      </x:c>
      <x:c r="E5" s="6" t="str">
        <x:v>C002</x:v>
      </x:c>
      <x:c r="F5" s="6" t="str">
        <x:v>2</x:v>
      </x:c>
      <x:c r="G5" s="6" t="str">
        <x:v>-B100</x:v>
      </x:c>
      <x:c r="H5" s="6" t="str">
        <x:v>=FC01+FLD-B100</x:v>
      </x:c>
      <x:c r="I5" s="6" t="str">
        <x:v>1</x:v>
      </x:c>
      <x:c r="J5" s="6" t="str">
        <x:v>-A102</x:v>
      </x:c>
      <x:c r="K5" s="6" t="str">
        <x:v>=FC01+CP01-A102</x:v>
      </x:c>
      <x:c r="L5" s="6" t="str">
        <x:v>2</x:v>
      </x:c>
      <x:c r="M5" s="6" t="str">
        <x:v>I0.2</x:v>
      </x:c>
      <x:c r="N5" s="6" t="str">
        <x:v>+24VDC fused</x:v>
      </x:c>
      <x:c r="O5" s="6" t="str">
        <x:v>W0006</x:v>
      </x:c>
      <x:c r="P5" s="6" t="str"/>
      <x:c r="Q5" s="6" t="str">
        <x:v>Controlled Rev-D topology; conductor size/terminal family and native QET continuity verification remain open</x:v>
      </x:c>
    </x:row>
    <x:row r="6" ht="27" customHeight="1">
      <x:c r="A6" s="6" t="str">
        <x:v>X100:5</x:v>
      </x:c>
      <x:c r="B6" s="6" t="str">
        <x:v>=FC01+CP01-X100</x:v>
      </x:c>
      <x:c r="C6" s="6" t="str">
        <x:v>AIR_PRESSURE_OK</x:v>
      </x:c>
      <x:c r="D6" s="6" t="str">
        <x:v>Sensor/interface return</x:v>
      </x:c>
      <x:c r="E6" s="6" t="str">
        <x:v>C002</x:v>
      </x:c>
      <x:c r="F6" s="6" t="str">
        <x:v>3</x:v>
      </x:c>
      <x:c r="G6" s="6" t="str">
        <x:v>-B100</x:v>
      </x:c>
      <x:c r="H6" s="6" t="str">
        <x:v>=FC01+FLD-B100</x:v>
      </x:c>
      <x:c r="I6" s="6" t="str">
        <x:v>3</x:v>
      </x:c>
      <x:c r="J6" s="6" t="str">
        <x:v>-A102</x:v>
      </x:c>
      <x:c r="K6" s="6" t="str">
        <x:v>=FC01+CP01-A102</x:v>
      </x:c>
      <x:c r="L6" s="6" t="str">
        <x:v>2</x:v>
      </x:c>
      <x:c r="M6" s="6" t="str">
        <x:v>I0.2</x:v>
      </x:c>
      <x:c r="N6" s="6" t="str">
        <x:v>0V</x:v>
      </x:c>
      <x:c r="O6" s="6" t="str">
        <x:v>W0007</x:v>
      </x:c>
      <x:c r="P6" s="6" t="str">
        <x:v>X0:0V</x:v>
      </x:c>
      <x:c r="Q6" s="6" t="str">
        <x:v>Controlled Rev-D topology; conductor size/terminal family and native QET continuity verification remain open</x:v>
      </x:c>
    </x:row>
    <x:row r="7" ht="27" customHeight="1">
      <x:c r="A7" s="6" t="str">
        <x:v>X100:6</x:v>
      </x:c>
      <x:c r="B7" s="6" t="str">
        <x:v>=FC01+CP01-X100</x:v>
      </x:c>
      <x:c r="C7" s="6" t="str">
        <x:v>PRODUCT_SUPPLY_OK</x:v>
      </x:c>
      <x:c r="D7" s="6" t="str">
        <x:v>PNP signal</x:v>
      </x:c>
      <x:c r="E7" s="6" t="str">
        <x:v>C003</x:v>
      </x:c>
      <x:c r="F7" s="6" t="str">
        <x:v>1</x:v>
      </x:c>
      <x:c r="G7" s="6" t="str">
        <x:v>-B101</x:v>
      </x:c>
      <x:c r="H7" s="6" t="str">
        <x:v>=FC01+FLD-B101</x:v>
      </x:c>
      <x:c r="I7" s="6" t="str">
        <x:v>4</x:v>
      </x:c>
      <x:c r="J7" s="6" t="str">
        <x:v>-A102</x:v>
      </x:c>
      <x:c r="K7" s="6" t="str">
        <x:v>=FC01+CP01-A102</x:v>
      </x:c>
      <x:c r="L7" s="6" t="str">
        <x:v>3</x:v>
      </x:c>
      <x:c r="M7" s="6" t="str">
        <x:v>I0.3</x:v>
      </x:c>
      <x:c r="N7" s="6" t="str">
        <x:v>24 VDC switched</x:v>
      </x:c>
      <x:c r="O7" s="6" t="str">
        <x:v>W0008</x:v>
      </x:c>
      <x:c r="P7" s="6" t="str"/>
      <x:c r="Q7" s="6" t="str">
        <x:v>Controlled Rev-D topology; conductor size/terminal family and native QET continuity verification remain open</x:v>
      </x:c>
    </x:row>
    <x:row r="8" ht="27" customHeight="1">
      <x:c r="A8" s="6" t="str">
        <x:v>X100:7</x:v>
      </x:c>
      <x:c r="B8" s="6" t="str">
        <x:v>=FC01+CP01-X100</x:v>
      </x:c>
      <x:c r="C8" s="6" t="str">
        <x:v>PRODUCT_SUPPLY_OK</x:v>
      </x:c>
      <x:c r="D8" s="6" t="str">
        <x:v>Sensor/interface supply</x:v>
      </x:c>
      <x:c r="E8" s="6" t="str">
        <x:v>C003</x:v>
      </x:c>
      <x:c r="F8" s="6" t="str">
        <x:v>2</x:v>
      </x:c>
      <x:c r="G8" s="6" t="str">
        <x:v>-B101</x:v>
      </x:c>
      <x:c r="H8" s="6" t="str">
        <x:v>=FC01+FLD-B101</x:v>
      </x:c>
      <x:c r="I8" s="6" t="str">
        <x:v>1</x:v>
      </x:c>
      <x:c r="J8" s="6" t="str">
        <x:v>-A102</x:v>
      </x:c>
      <x:c r="K8" s="6" t="str">
        <x:v>=FC01+CP01-A102</x:v>
      </x:c>
      <x:c r="L8" s="6" t="str">
        <x:v>3</x:v>
      </x:c>
      <x:c r="M8" s="6" t="str">
        <x:v>I0.3</x:v>
      </x:c>
      <x:c r="N8" s="6" t="str">
        <x:v>+24VDC fused</x:v>
      </x:c>
      <x:c r="O8" s="6" t="str">
        <x:v>W0009</x:v>
      </x:c>
      <x:c r="P8" s="6" t="str"/>
      <x:c r="Q8" s="6" t="str">
        <x:v>Controlled Rev-D topology; conductor size/terminal family and native QET continuity verification remain open</x:v>
      </x:c>
    </x:row>
    <x:row r="9" ht="27" customHeight="1">
      <x:c r="A9" s="6" t="str">
        <x:v>X100:8</x:v>
      </x:c>
      <x:c r="B9" s="6" t="str">
        <x:v>=FC01+CP01-X100</x:v>
      </x:c>
      <x:c r="C9" s="6" t="str">
        <x:v>PRODUCT_SUPPLY_OK</x:v>
      </x:c>
      <x:c r="D9" s="6" t="str">
        <x:v>Sensor/interface return</x:v>
      </x:c>
      <x:c r="E9" s="6" t="str">
        <x:v>C003</x:v>
      </x:c>
      <x:c r="F9" s="6" t="str">
        <x:v>3</x:v>
      </x:c>
      <x:c r="G9" s="6" t="str">
        <x:v>-B101</x:v>
      </x:c>
      <x:c r="H9" s="6" t="str">
        <x:v>=FC01+FLD-B101</x:v>
      </x:c>
      <x:c r="I9" s="6" t="str">
        <x:v>3</x:v>
      </x:c>
      <x:c r="J9" s="6" t="str">
        <x:v>-A102</x:v>
      </x:c>
      <x:c r="K9" s="6" t="str">
        <x:v>=FC01+CP01-A102</x:v>
      </x:c>
      <x:c r="L9" s="6" t="str">
        <x:v>3</x:v>
      </x:c>
      <x:c r="M9" s="6" t="str">
        <x:v>I0.3</x:v>
      </x:c>
      <x:c r="N9" s="6" t="str">
        <x:v>0V</x:v>
      </x:c>
      <x:c r="O9" s="6" t="str">
        <x:v>W0010</x:v>
      </x:c>
      <x:c r="P9" s="6" t="str">
        <x:v>X0:0V</x:v>
      </x:c>
      <x:c r="Q9" s="6" t="str">
        <x:v>Controlled Rev-D topology; conductor size/terminal family and native QET continuity verification remain open</x:v>
      </x:c>
    </x:row>
    <x:row r="10" ht="27" customHeight="1">
      <x:c r="A10" s="6" t="str">
        <x:v>X100:9</x:v>
      </x:c>
      <x:c r="B10" s="6" t="str">
        <x:v>=FC01+CP01-X100</x:v>
      </x:c>
      <x:c r="C10" s="6" t="str">
        <x:v>BOTTLE_AT_NEST_1</x:v>
      </x:c>
      <x:c r="D10" s="6" t="str">
        <x:v>PNP signal</x:v>
      </x:c>
      <x:c r="E10" s="6" t="str">
        <x:v>C004</x:v>
      </x:c>
      <x:c r="F10" s="6" t="str">
        <x:v>1</x:v>
      </x:c>
      <x:c r="G10" s="6" t="str">
        <x:v>-B110</x:v>
      </x:c>
      <x:c r="H10" s="6" t="str">
        <x:v>=FC01+FLD-B110</x:v>
      </x:c>
      <x:c r="I10" s="6" t="str">
        <x:v>4</x:v>
      </x:c>
      <x:c r="J10" s="6" t="str">
        <x:v>-A102</x:v>
      </x:c>
      <x:c r="K10" s="6" t="str">
        <x:v>=FC01+CP01-A102</x:v>
      </x:c>
      <x:c r="L10" s="6" t="str">
        <x:v>10</x:v>
      </x:c>
      <x:c r="M10" s="6" t="str">
        <x:v>I1.2</x:v>
      </x:c>
      <x:c r="N10" s="6" t="str">
        <x:v>24 VDC switched</x:v>
      </x:c>
      <x:c r="O10" s="6" t="str">
        <x:v>W0011</x:v>
      </x:c>
      <x:c r="P10" s="6" t="str"/>
      <x:c r="Q10" s="6" t="str">
        <x:v>Controlled Rev-D topology; conductor size/terminal family and native QET continuity verification remain open</x:v>
      </x:c>
    </x:row>
    <x:row r="11" ht="27" customHeight="1">
      <x:c r="A11" s="6" t="str">
        <x:v>X100:10</x:v>
      </x:c>
      <x:c r="B11" s="6" t="str">
        <x:v>=FC01+CP01-X100</x:v>
      </x:c>
      <x:c r="C11" s="6" t="str">
        <x:v>BOTTLE_AT_NEST_1</x:v>
      </x:c>
      <x:c r="D11" s="6" t="str">
        <x:v>Sensor/interface supply</x:v>
      </x:c>
      <x:c r="E11" s="6" t="str">
        <x:v>C004</x:v>
      </x:c>
      <x:c r="F11" s="6" t="str">
        <x:v>2</x:v>
      </x:c>
      <x:c r="G11" s="6" t="str">
        <x:v>-B110</x:v>
      </x:c>
      <x:c r="H11" s="6" t="str">
        <x:v>=FC01+FLD-B110</x:v>
      </x:c>
      <x:c r="I11" s="6" t="str">
        <x:v>1</x:v>
      </x:c>
      <x:c r="J11" s="6" t="str">
        <x:v>-A102</x:v>
      </x:c>
      <x:c r="K11" s="6" t="str">
        <x:v>=FC01+CP01-A102</x:v>
      </x:c>
      <x:c r="L11" s="6" t="str">
        <x:v>10</x:v>
      </x:c>
      <x:c r="M11" s="6" t="str">
        <x:v>I1.2</x:v>
      </x:c>
      <x:c r="N11" s="6" t="str">
        <x:v>+24VDC fused</x:v>
      </x:c>
      <x:c r="O11" s="6" t="str">
        <x:v>W0012</x:v>
      </x:c>
      <x:c r="P11" s="6" t="str"/>
      <x:c r="Q11" s="6" t="str">
        <x:v>Controlled Rev-D topology; conductor size/terminal family and native QET continuity verification remain open</x:v>
      </x:c>
    </x:row>
    <x:row r="12" ht="27" customHeight="1">
      <x:c r="A12" s="6" t="str">
        <x:v>X100:11</x:v>
      </x:c>
      <x:c r="B12" s="6" t="str">
        <x:v>=FC01+CP01-X100</x:v>
      </x:c>
      <x:c r="C12" s="6" t="str">
        <x:v>BOTTLE_AT_NEST_1</x:v>
      </x:c>
      <x:c r="D12" s="6" t="str">
        <x:v>Sensor/interface return</x:v>
      </x:c>
      <x:c r="E12" s="6" t="str">
        <x:v>C004</x:v>
      </x:c>
      <x:c r="F12" s="6" t="str">
        <x:v>3</x:v>
      </x:c>
      <x:c r="G12" s="6" t="str">
        <x:v>-B110</x:v>
      </x:c>
      <x:c r="H12" s="6" t="str">
        <x:v>=FC01+FLD-B110</x:v>
      </x:c>
      <x:c r="I12" s="6" t="str">
        <x:v>3</x:v>
      </x:c>
      <x:c r="J12" s="6" t="str">
        <x:v>-A102</x:v>
      </x:c>
      <x:c r="K12" s="6" t="str">
        <x:v>=FC01+CP01-A102</x:v>
      </x:c>
      <x:c r="L12" s="6" t="str">
        <x:v>10</x:v>
      </x:c>
      <x:c r="M12" s="6" t="str">
        <x:v>I1.2</x:v>
      </x:c>
      <x:c r="N12" s="6" t="str">
        <x:v>0V</x:v>
      </x:c>
      <x:c r="O12" s="6" t="str">
        <x:v>W0013</x:v>
      </x:c>
      <x:c r="P12" s="6" t="str">
        <x:v>X0:0V</x:v>
      </x:c>
      <x:c r="Q12" s="6" t="str">
        <x:v>Controlled Rev-D topology; conductor size/terminal family and native QET continuity verification remain open</x:v>
      </x:c>
    </x:row>
    <x:row r="13" ht="27" customHeight="1">
      <x:c r="A13" s="6" t="str">
        <x:v>X100:12</x:v>
      </x:c>
      <x:c r="B13" s="6" t="str">
        <x:v>=FC01+CP01-X100</x:v>
      </x:c>
      <x:c r="C13" s="6" t="str">
        <x:v>BOTTLE_AT_NEST_2</x:v>
      </x:c>
      <x:c r="D13" s="6" t="str">
        <x:v>PNP signal</x:v>
      </x:c>
      <x:c r="E13" s="6" t="str">
        <x:v>C005</x:v>
      </x:c>
      <x:c r="F13" s="6" t="str">
        <x:v>1</x:v>
      </x:c>
      <x:c r="G13" s="6" t="str">
        <x:v>-B111</x:v>
      </x:c>
      <x:c r="H13" s="6" t="str">
        <x:v>=FC01+FLD-B111</x:v>
      </x:c>
      <x:c r="I13" s="6" t="str">
        <x:v>4</x:v>
      </x:c>
      <x:c r="J13" s="6" t="str">
        <x:v>-A102</x:v>
      </x:c>
      <x:c r="K13" s="6" t="str">
        <x:v>=FC01+CP01-A102</x:v>
      </x:c>
      <x:c r="L13" s="6" t="str">
        <x:v>11</x:v>
      </x:c>
      <x:c r="M13" s="6" t="str">
        <x:v>I1.3</x:v>
      </x:c>
      <x:c r="N13" s="6" t="str">
        <x:v>24 VDC switched</x:v>
      </x:c>
      <x:c r="O13" s="6" t="str">
        <x:v>W0014</x:v>
      </x:c>
      <x:c r="P13" s="6" t="str"/>
      <x:c r="Q13" s="6" t="str">
        <x:v>Controlled Rev-D topology; conductor size/terminal family and native QET continuity verification remain open</x:v>
      </x:c>
    </x:row>
    <x:row r="14" ht="27" customHeight="1">
      <x:c r="A14" s="6" t="str">
        <x:v>X100:13</x:v>
      </x:c>
      <x:c r="B14" s="6" t="str">
        <x:v>=FC01+CP01-X100</x:v>
      </x:c>
      <x:c r="C14" s="6" t="str">
        <x:v>BOTTLE_AT_NEST_2</x:v>
      </x:c>
      <x:c r="D14" s="6" t="str">
        <x:v>Sensor/interface supply</x:v>
      </x:c>
      <x:c r="E14" s="6" t="str">
        <x:v>C005</x:v>
      </x:c>
      <x:c r="F14" s="6" t="str">
        <x:v>2</x:v>
      </x:c>
      <x:c r="G14" s="6" t="str">
        <x:v>-B111</x:v>
      </x:c>
      <x:c r="H14" s="6" t="str">
        <x:v>=FC01+FLD-B111</x:v>
      </x:c>
      <x:c r="I14" s="6" t="str">
        <x:v>1</x:v>
      </x:c>
      <x:c r="J14" s="6" t="str">
        <x:v>-A102</x:v>
      </x:c>
      <x:c r="K14" s="6" t="str">
        <x:v>=FC01+CP01-A102</x:v>
      </x:c>
      <x:c r="L14" s="6" t="str">
        <x:v>11</x:v>
      </x:c>
      <x:c r="M14" s="6" t="str">
        <x:v>I1.3</x:v>
      </x:c>
      <x:c r="N14" s="6" t="str">
        <x:v>+24VDC fused</x:v>
      </x:c>
      <x:c r="O14" s="6" t="str">
        <x:v>W0015</x:v>
      </x:c>
      <x:c r="P14" s="6" t="str"/>
      <x:c r="Q14" s="6" t="str">
        <x:v>Controlled Rev-D topology; conductor size/terminal family and native QET continuity verification remain open</x:v>
      </x:c>
    </x:row>
    <x:row r="15" ht="27" customHeight="1">
      <x:c r="A15" s="6" t="str">
        <x:v>X100:14</x:v>
      </x:c>
      <x:c r="B15" s="6" t="str">
        <x:v>=FC01+CP01-X100</x:v>
      </x:c>
      <x:c r="C15" s="6" t="str">
        <x:v>BOTTLE_AT_NEST_2</x:v>
      </x:c>
      <x:c r="D15" s="6" t="str">
        <x:v>Sensor/interface return</x:v>
      </x:c>
      <x:c r="E15" s="6" t="str">
        <x:v>C005</x:v>
      </x:c>
      <x:c r="F15" s="6" t="str">
        <x:v>3</x:v>
      </x:c>
      <x:c r="G15" s="6" t="str">
        <x:v>-B111</x:v>
      </x:c>
      <x:c r="H15" s="6" t="str">
        <x:v>=FC01+FLD-B111</x:v>
      </x:c>
      <x:c r="I15" s="6" t="str">
        <x:v>3</x:v>
      </x:c>
      <x:c r="J15" s="6" t="str">
        <x:v>-A102</x:v>
      </x:c>
      <x:c r="K15" s="6" t="str">
        <x:v>=FC01+CP01-A102</x:v>
      </x:c>
      <x:c r="L15" s="6" t="str">
        <x:v>11</x:v>
      </x:c>
      <x:c r="M15" s="6" t="str">
        <x:v>I1.3</x:v>
      </x:c>
      <x:c r="N15" s="6" t="str">
        <x:v>0V</x:v>
      </x:c>
      <x:c r="O15" s="6" t="str">
        <x:v>W0016</x:v>
      </x:c>
      <x:c r="P15" s="6" t="str">
        <x:v>X0:0V</x:v>
      </x:c>
      <x:c r="Q15" s="6" t="str">
        <x:v>Controlled Rev-D topology; conductor size/terminal family and native QET continuity verification remain open</x:v>
      </x:c>
    </x:row>
    <x:row r="16" ht="27" customHeight="1">
      <x:c r="A16" s="6" t="str">
        <x:v>X100:15</x:v>
      </x:c>
      <x:c r="B16" s="6" t="str">
        <x:v>=FC01+CP01-X100</x:v>
      </x:c>
      <x:c r="C16" s="6" t="str">
        <x:v>GATE_OPEN_FB</x:v>
      </x:c>
      <x:c r="D16" s="6" t="str">
        <x:v>PNP signal</x:v>
      </x:c>
      <x:c r="E16" s="6" t="str">
        <x:v>C006</x:v>
      </x:c>
      <x:c r="F16" s="6" t="str">
        <x:v>1</x:v>
      </x:c>
      <x:c r="G16" s="6" t="str">
        <x:v>-B120</x:v>
      </x:c>
      <x:c r="H16" s="6" t="str">
        <x:v>=FC01+FLD-B120</x:v>
      </x:c>
      <x:c r="I16" s="6" t="str">
        <x:v>4</x:v>
      </x:c>
      <x:c r="J16" s="6" t="str">
        <x:v>-A102</x:v>
      </x:c>
      <x:c r="K16" s="6" t="str">
        <x:v>=FC01+CP01-A102</x:v>
      </x:c>
      <x:c r="L16" s="6" t="str">
        <x:v>12</x:v>
      </x:c>
      <x:c r="M16" s="6" t="str">
        <x:v>I1.4</x:v>
      </x:c>
      <x:c r="N16" s="6" t="str">
        <x:v>24 VDC switched</x:v>
      </x:c>
      <x:c r="O16" s="6" t="str">
        <x:v>W0017</x:v>
      </x:c>
      <x:c r="P16" s="6" t="str"/>
      <x:c r="Q16" s="6" t="str">
        <x:v>Controlled Rev-D topology; conductor size/terminal family and native QET continuity verification remain open</x:v>
      </x:c>
    </x:row>
    <x:row r="17" ht="27" customHeight="1">
      <x:c r="A17" s="6" t="str">
        <x:v>X100:16</x:v>
      </x:c>
      <x:c r="B17" s="6" t="str">
        <x:v>=FC01+CP01-X100</x:v>
      </x:c>
      <x:c r="C17" s="6" t="str">
        <x:v>GATE_OPEN_FB</x:v>
      </x:c>
      <x:c r="D17" s="6" t="str">
        <x:v>Sensor/interface supply</x:v>
      </x:c>
      <x:c r="E17" s="6" t="str">
        <x:v>C006</x:v>
      </x:c>
      <x:c r="F17" s="6" t="str">
        <x:v>2</x:v>
      </x:c>
      <x:c r="G17" s="6" t="str">
        <x:v>-B120</x:v>
      </x:c>
      <x:c r="H17" s="6" t="str">
        <x:v>=FC01+FLD-B120</x:v>
      </x:c>
      <x:c r="I17" s="6" t="str">
        <x:v>1</x:v>
      </x:c>
      <x:c r="J17" s="6" t="str">
        <x:v>-A102</x:v>
      </x:c>
      <x:c r="K17" s="6" t="str">
        <x:v>=FC01+CP01-A102</x:v>
      </x:c>
      <x:c r="L17" s="6" t="str">
        <x:v>12</x:v>
      </x:c>
      <x:c r="M17" s="6" t="str">
        <x:v>I1.4</x:v>
      </x:c>
      <x:c r="N17" s="6" t="str">
        <x:v>+24VDC fused</x:v>
      </x:c>
      <x:c r="O17" s="6" t="str">
        <x:v>W0018</x:v>
      </x:c>
      <x:c r="P17" s="6" t="str"/>
      <x:c r="Q17" s="6" t="str">
        <x:v>Controlled Rev-D topology; conductor size/terminal family and native QET continuity verification remain open</x:v>
      </x:c>
    </x:row>
    <x:row r="18" ht="27" customHeight="1">
      <x:c r="A18" s="6" t="str">
        <x:v>X100:17</x:v>
      </x:c>
      <x:c r="B18" s="6" t="str">
        <x:v>=FC01+CP01-X100</x:v>
      </x:c>
      <x:c r="C18" s="6" t="str">
        <x:v>GATE_OPEN_FB</x:v>
      </x:c>
      <x:c r="D18" s="6" t="str">
        <x:v>Sensor/interface return</x:v>
      </x:c>
      <x:c r="E18" s="6" t="str">
        <x:v>C006</x:v>
      </x:c>
      <x:c r="F18" s="6" t="str">
        <x:v>3</x:v>
      </x:c>
      <x:c r="G18" s="6" t="str">
        <x:v>-B120</x:v>
      </x:c>
      <x:c r="H18" s="6" t="str">
        <x:v>=FC01+FLD-B120</x:v>
      </x:c>
      <x:c r="I18" s="6" t="str">
        <x:v>3</x:v>
      </x:c>
      <x:c r="J18" s="6" t="str">
        <x:v>-A102</x:v>
      </x:c>
      <x:c r="K18" s="6" t="str">
        <x:v>=FC01+CP01-A102</x:v>
      </x:c>
      <x:c r="L18" s="6" t="str">
        <x:v>12</x:v>
      </x:c>
      <x:c r="M18" s="6" t="str">
        <x:v>I1.4</x:v>
      </x:c>
      <x:c r="N18" s="6" t="str">
        <x:v>0V</x:v>
      </x:c>
      <x:c r="O18" s="6" t="str">
        <x:v>W0019</x:v>
      </x:c>
      <x:c r="P18" s="6" t="str">
        <x:v>X0:0V</x:v>
      </x:c>
      <x:c r="Q18" s="6" t="str">
        <x:v>Controlled Rev-D topology; conductor size/terminal family and native QET continuity verification remain open</x:v>
      </x:c>
    </x:row>
    <x:row r="19" ht="27" customHeight="1">
      <x:c r="A19" s="6" t="str">
        <x:v>X100:18</x:v>
      </x:c>
      <x:c r="B19" s="6" t="str">
        <x:v>=FC01+CP01-X100</x:v>
      </x:c>
      <x:c r="C19" s="6" t="str">
        <x:v>GATE_CLOSED_FB</x:v>
      </x:c>
      <x:c r="D19" s="6" t="str">
        <x:v>PNP signal</x:v>
      </x:c>
      <x:c r="E19" s="6" t="str">
        <x:v>C007</x:v>
      </x:c>
      <x:c r="F19" s="6" t="str">
        <x:v>1</x:v>
      </x:c>
      <x:c r="G19" s="6" t="str">
        <x:v>-B121</x:v>
      </x:c>
      <x:c r="H19" s="6" t="str">
        <x:v>=FC01+FLD-B121</x:v>
      </x:c>
      <x:c r="I19" s="6" t="str">
        <x:v>4</x:v>
      </x:c>
      <x:c r="J19" s="6" t="str">
        <x:v>-A102</x:v>
      </x:c>
      <x:c r="K19" s="6" t="str">
        <x:v>=FC01+CP01-A102</x:v>
      </x:c>
      <x:c r="L19" s="6" t="str">
        <x:v>13</x:v>
      </x:c>
      <x:c r="M19" s="6" t="str">
        <x:v>I1.5</x:v>
      </x:c>
      <x:c r="N19" s="6" t="str">
        <x:v>24 VDC switched</x:v>
      </x:c>
      <x:c r="O19" s="6" t="str">
        <x:v>W0020</x:v>
      </x:c>
      <x:c r="P19" s="6" t="str"/>
      <x:c r="Q19" s="6" t="str">
        <x:v>Controlled Rev-D topology; conductor size/terminal family and native QET continuity verification remain open</x:v>
      </x:c>
    </x:row>
    <x:row r="20" ht="27" customHeight="1">
      <x:c r="A20" s="6" t="str">
        <x:v>X100:19</x:v>
      </x:c>
      <x:c r="B20" s="6" t="str">
        <x:v>=FC01+CP01-X100</x:v>
      </x:c>
      <x:c r="C20" s="6" t="str">
        <x:v>GATE_CLOSED_FB</x:v>
      </x:c>
      <x:c r="D20" s="6" t="str">
        <x:v>Sensor/interface supply</x:v>
      </x:c>
      <x:c r="E20" s="6" t="str">
        <x:v>C007</x:v>
      </x:c>
      <x:c r="F20" s="6" t="str">
        <x:v>2</x:v>
      </x:c>
      <x:c r="G20" s="6" t="str">
        <x:v>-B121</x:v>
      </x:c>
      <x:c r="H20" s="6" t="str">
        <x:v>=FC01+FLD-B121</x:v>
      </x:c>
      <x:c r="I20" s="6" t="str">
        <x:v>1</x:v>
      </x:c>
      <x:c r="J20" s="6" t="str">
        <x:v>-A102</x:v>
      </x:c>
      <x:c r="K20" s="6" t="str">
        <x:v>=FC01+CP01-A102</x:v>
      </x:c>
      <x:c r="L20" s="6" t="str">
        <x:v>13</x:v>
      </x:c>
      <x:c r="M20" s="6" t="str">
        <x:v>I1.5</x:v>
      </x:c>
      <x:c r="N20" s="6" t="str">
        <x:v>+24VDC fused</x:v>
      </x:c>
      <x:c r="O20" s="6" t="str">
        <x:v>W0021</x:v>
      </x:c>
      <x:c r="P20" s="6" t="str"/>
      <x:c r="Q20" s="6" t="str">
        <x:v>Controlled Rev-D topology; conductor size/terminal family and native QET continuity verification remain open</x:v>
      </x:c>
    </x:row>
    <x:row r="21" ht="27" customHeight="1">
      <x:c r="A21" s="6" t="str">
        <x:v>X100:20</x:v>
      </x:c>
      <x:c r="B21" s="6" t="str">
        <x:v>=FC01+CP01-X100</x:v>
      </x:c>
      <x:c r="C21" s="6" t="str">
        <x:v>GATE_CLOSED_FB</x:v>
      </x:c>
      <x:c r="D21" s="6" t="str">
        <x:v>Sensor/interface return</x:v>
      </x:c>
      <x:c r="E21" s="6" t="str">
        <x:v>C007</x:v>
      </x:c>
      <x:c r="F21" s="6" t="str">
        <x:v>3</x:v>
      </x:c>
      <x:c r="G21" s="6" t="str">
        <x:v>-B121</x:v>
      </x:c>
      <x:c r="H21" s="6" t="str">
        <x:v>=FC01+FLD-B121</x:v>
      </x:c>
      <x:c r="I21" s="6" t="str">
        <x:v>3</x:v>
      </x:c>
      <x:c r="J21" s="6" t="str">
        <x:v>-A102</x:v>
      </x:c>
      <x:c r="K21" s="6" t="str">
        <x:v>=FC01+CP01-A102</x:v>
      </x:c>
      <x:c r="L21" s="6" t="str">
        <x:v>13</x:v>
      </x:c>
      <x:c r="M21" s="6" t="str">
        <x:v>I1.5</x:v>
      </x:c>
      <x:c r="N21" s="6" t="str">
        <x:v>0V</x:v>
      </x:c>
      <x:c r="O21" s="6" t="str">
        <x:v>W0022</x:v>
      </x:c>
      <x:c r="P21" s="6" t="str">
        <x:v>X0:0V</x:v>
      </x:c>
      <x:c r="Q21" s="6" t="str">
        <x:v>Controlled Rev-D topology; conductor size/terminal family and native QET continuity verification remain open</x:v>
      </x:c>
    </x:row>
    <x:row r="22" ht="27" customHeight="1">
      <x:c r="A22" s="6" t="str">
        <x:v>X100:21</x:v>
      </x:c>
      <x:c r="B22" s="6" t="str">
        <x:v>=FC01+CP01-X100</x:v>
      </x:c>
      <x:c r="C22" s="6" t="str">
        <x:v>CLAMP_RELEASED_FB</x:v>
      </x:c>
      <x:c r="D22" s="6" t="str">
        <x:v>PNP signal</x:v>
      </x:c>
      <x:c r="E22" s="6" t="str">
        <x:v>C008</x:v>
      </x:c>
      <x:c r="F22" s="6" t="str">
        <x:v>1</x:v>
      </x:c>
      <x:c r="G22" s="6" t="str">
        <x:v>-B122</x:v>
      </x:c>
      <x:c r="H22" s="6" t="str">
        <x:v>=FC01+FLD-B122</x:v>
      </x:c>
      <x:c r="I22" s="6" t="str">
        <x:v>4</x:v>
      </x:c>
      <x:c r="J22" s="6" t="str">
        <x:v>-A102</x:v>
      </x:c>
      <x:c r="K22" s="6" t="str">
        <x:v>=FC01+CP01-A102</x:v>
      </x:c>
      <x:c r="L22" s="6" t="str">
        <x:v>14</x:v>
      </x:c>
      <x:c r="M22" s="6" t="str">
        <x:v>I1.6</x:v>
      </x:c>
      <x:c r="N22" s="6" t="str">
        <x:v>24 VDC switched</x:v>
      </x:c>
      <x:c r="O22" s="6" t="str">
        <x:v>W0023</x:v>
      </x:c>
      <x:c r="P22" s="6" t="str"/>
      <x:c r="Q22" s="6" t="str">
        <x:v>Controlled Rev-D topology; conductor size/terminal family and native QET continuity verification remain open</x:v>
      </x:c>
    </x:row>
    <x:row r="23" ht="27" customHeight="1">
      <x:c r="A23" s="6" t="str">
        <x:v>X100:22</x:v>
      </x:c>
      <x:c r="B23" s="6" t="str">
        <x:v>=FC01+CP01-X100</x:v>
      </x:c>
      <x:c r="C23" s="6" t="str">
        <x:v>CLAMP_RELEASED_FB</x:v>
      </x:c>
      <x:c r="D23" s="6" t="str">
        <x:v>Sensor/interface supply</x:v>
      </x:c>
      <x:c r="E23" s="6" t="str">
        <x:v>C008</x:v>
      </x:c>
      <x:c r="F23" s="6" t="str">
        <x:v>2</x:v>
      </x:c>
      <x:c r="G23" s="6" t="str">
        <x:v>-B122</x:v>
      </x:c>
      <x:c r="H23" s="6" t="str">
        <x:v>=FC01+FLD-B122</x:v>
      </x:c>
      <x:c r="I23" s="6" t="str">
        <x:v>1</x:v>
      </x:c>
      <x:c r="J23" s="6" t="str">
        <x:v>-A102</x:v>
      </x:c>
      <x:c r="K23" s="6" t="str">
        <x:v>=FC01+CP01-A102</x:v>
      </x:c>
      <x:c r="L23" s="6" t="str">
        <x:v>14</x:v>
      </x:c>
      <x:c r="M23" s="6" t="str">
        <x:v>I1.6</x:v>
      </x:c>
      <x:c r="N23" s="6" t="str">
        <x:v>+24VDC fused</x:v>
      </x:c>
      <x:c r="O23" s="6" t="str">
        <x:v>W0024</x:v>
      </x:c>
      <x:c r="P23" s="6" t="str"/>
      <x:c r="Q23" s="6" t="str">
        <x:v>Controlled Rev-D topology; conductor size/terminal family and native QET continuity verification remain open</x:v>
      </x:c>
    </x:row>
    <x:row r="24" ht="27" customHeight="1">
      <x:c r="A24" s="6" t="str">
        <x:v>X100:23</x:v>
      </x:c>
      <x:c r="B24" s="6" t="str">
        <x:v>=FC01+CP01-X100</x:v>
      </x:c>
      <x:c r="C24" s="6" t="str">
        <x:v>CLAMP_RELEASED_FB</x:v>
      </x:c>
      <x:c r="D24" s="6" t="str">
        <x:v>Sensor/interface return</x:v>
      </x:c>
      <x:c r="E24" s="6" t="str">
        <x:v>C008</x:v>
      </x:c>
      <x:c r="F24" s="6" t="str">
        <x:v>3</x:v>
      </x:c>
      <x:c r="G24" s="6" t="str">
        <x:v>-B122</x:v>
      </x:c>
      <x:c r="H24" s="6" t="str">
        <x:v>=FC01+FLD-B122</x:v>
      </x:c>
      <x:c r="I24" s="6" t="str">
        <x:v>3</x:v>
      </x:c>
      <x:c r="J24" s="6" t="str">
        <x:v>-A102</x:v>
      </x:c>
      <x:c r="K24" s="6" t="str">
        <x:v>=FC01+CP01-A102</x:v>
      </x:c>
      <x:c r="L24" s="6" t="str">
        <x:v>14</x:v>
      </x:c>
      <x:c r="M24" s="6" t="str">
        <x:v>I1.6</x:v>
      </x:c>
      <x:c r="N24" s="6" t="str">
        <x:v>0V</x:v>
      </x:c>
      <x:c r="O24" s="6" t="str">
        <x:v>W0025</x:v>
      </x:c>
      <x:c r="P24" s="6" t="str">
        <x:v>X0:0V</x:v>
      </x:c>
      <x:c r="Q24" s="6" t="str">
        <x:v>Controlled Rev-D topology; conductor size/terminal family and native QET continuity verification remain open</x:v>
      </x:c>
    </x:row>
    <x:row r="25" ht="27" customHeight="1">
      <x:c r="A25" s="6" t="str">
        <x:v>X100:24</x:v>
      </x:c>
      <x:c r="B25" s="6" t="str">
        <x:v>=FC01+CP01-X100</x:v>
      </x:c>
      <x:c r="C25" s="6" t="str">
        <x:v>CLAMP_ENGAGED_FB</x:v>
      </x:c>
      <x:c r="D25" s="6" t="str">
        <x:v>PNP signal</x:v>
      </x:c>
      <x:c r="E25" s="6" t="str">
        <x:v>C009</x:v>
      </x:c>
      <x:c r="F25" s="6" t="str">
        <x:v>1</x:v>
      </x:c>
      <x:c r="G25" s="6" t="str">
        <x:v>-B123</x:v>
      </x:c>
      <x:c r="H25" s="6" t="str">
        <x:v>=FC01+FLD-B123</x:v>
      </x:c>
      <x:c r="I25" s="6" t="str">
        <x:v>4</x:v>
      </x:c>
      <x:c r="J25" s="6" t="str">
        <x:v>-A102</x:v>
      </x:c>
      <x:c r="K25" s="6" t="str">
        <x:v>=FC01+CP01-A102</x:v>
      </x:c>
      <x:c r="L25" s="6" t="str">
        <x:v>15</x:v>
      </x:c>
      <x:c r="M25" s="6" t="str">
        <x:v>I1.7</x:v>
      </x:c>
      <x:c r="N25" s="6" t="str">
        <x:v>24 VDC switched</x:v>
      </x:c>
      <x:c r="O25" s="6" t="str">
        <x:v>W0026</x:v>
      </x:c>
      <x:c r="P25" s="6" t="str"/>
      <x:c r="Q25" s="6" t="str">
        <x:v>Controlled Rev-D topology; conductor size/terminal family and native QET continuity verification remain open</x:v>
      </x:c>
    </x:row>
    <x:row r="26" ht="27" customHeight="1">
      <x:c r="A26" s="6" t="str">
        <x:v>X101:1</x:v>
      </x:c>
      <x:c r="B26" s="6" t="str">
        <x:v>=FC01+CP01-X101</x:v>
      </x:c>
      <x:c r="C26" s="6" t="str">
        <x:v>CLAMP_ENGAGED_FB</x:v>
      </x:c>
      <x:c r="D26" s="6" t="str">
        <x:v>Sensor/interface supply</x:v>
      </x:c>
      <x:c r="E26" s="6" t="str">
        <x:v>C009</x:v>
      </x:c>
      <x:c r="F26" s="6" t="str">
        <x:v>2</x:v>
      </x:c>
      <x:c r="G26" s="6" t="str">
        <x:v>-B123</x:v>
      </x:c>
      <x:c r="H26" s="6" t="str">
        <x:v>=FC01+FLD-B123</x:v>
      </x:c>
      <x:c r="I26" s="6" t="str">
        <x:v>1</x:v>
      </x:c>
      <x:c r="J26" s="6" t="str">
        <x:v>-A102</x:v>
      </x:c>
      <x:c r="K26" s="6" t="str">
        <x:v>=FC01+CP01-A102</x:v>
      </x:c>
      <x:c r="L26" s="6" t="str">
        <x:v>15</x:v>
      </x:c>
      <x:c r="M26" s="6" t="str">
        <x:v>I1.7</x:v>
      </x:c>
      <x:c r="N26" s="6" t="str">
        <x:v>+24VDC fused</x:v>
      </x:c>
      <x:c r="O26" s="6" t="str">
        <x:v>W0027</x:v>
      </x:c>
      <x:c r="P26" s="6" t="str"/>
      <x:c r="Q26" s="6" t="str">
        <x:v>Controlled Rev-D topology; conductor size/terminal family and native QET continuity verification remain open</x:v>
      </x:c>
    </x:row>
    <x:row r="27" ht="27" customHeight="1">
      <x:c r="A27" s="6" t="str">
        <x:v>X101:2</x:v>
      </x:c>
      <x:c r="B27" s="6" t="str">
        <x:v>=FC01+CP01-X101</x:v>
      </x:c>
      <x:c r="C27" s="6" t="str">
        <x:v>CLAMP_ENGAGED_FB</x:v>
      </x:c>
      <x:c r="D27" s="6" t="str">
        <x:v>Sensor/interface return</x:v>
      </x:c>
      <x:c r="E27" s="6" t="str">
        <x:v>C009</x:v>
      </x:c>
      <x:c r="F27" s="6" t="str">
        <x:v>3</x:v>
      </x:c>
      <x:c r="G27" s="6" t="str">
        <x:v>-B123</x:v>
      </x:c>
      <x:c r="H27" s="6" t="str">
        <x:v>=FC01+FLD-B123</x:v>
      </x:c>
      <x:c r="I27" s="6" t="str">
        <x:v>3</x:v>
      </x:c>
      <x:c r="J27" s="6" t="str">
        <x:v>-A102</x:v>
      </x:c>
      <x:c r="K27" s="6" t="str">
        <x:v>=FC01+CP01-A102</x:v>
      </x:c>
      <x:c r="L27" s="6" t="str">
        <x:v>15</x:v>
      </x:c>
      <x:c r="M27" s="6" t="str">
        <x:v>I1.7</x:v>
      </x:c>
      <x:c r="N27" s="6" t="str">
        <x:v>0V</x:v>
      </x:c>
      <x:c r="O27" s="6" t="str">
        <x:v>W0028</x:v>
      </x:c>
      <x:c r="P27" s="6" t="str">
        <x:v>X0:0V</x:v>
      </x:c>
      <x:c r="Q27" s="6" t="str">
        <x:v>Controlled Rev-D topology; conductor size/terminal family and native QET continuity verification remain open</x:v>
      </x:c>
    </x:row>
    <x:row r="28" ht="27" customHeight="1">
      <x:c r="A28" s="6" t="str">
        <x:v>X101:3</x:v>
      </x:c>
      <x:c r="B28" s="6" t="str">
        <x:v>=FC01+CP01-X101</x:v>
      </x:c>
      <x:c r="C28" s="6" t="str">
        <x:v>FILL_VALVE_1_CLOSED_FB</x:v>
      </x:c>
      <x:c r="D28" s="6" t="str">
        <x:v>PNP signal</x:v>
      </x:c>
      <x:c r="E28" s="6" t="str">
        <x:v>C010</x:v>
      </x:c>
      <x:c r="F28" s="6" t="str">
        <x:v>1</x:v>
      </x:c>
      <x:c r="G28" s="6" t="str">
        <x:v>-B130</x:v>
      </x:c>
      <x:c r="H28" s="6" t="str">
        <x:v>=FC01+FLD-B130</x:v>
      </x:c>
      <x:c r="I28" s="6" t="str">
        <x:v>4</x:v>
      </x:c>
      <x:c r="J28" s="6" t="str">
        <x:v>-A102</x:v>
      </x:c>
      <x:c r="K28" s="6" t="str">
        <x:v>=FC01+CP01-A102</x:v>
      </x:c>
      <x:c r="L28" s="6" t="str">
        <x:v>16</x:v>
      </x:c>
      <x:c r="M28" s="6" t="str">
        <x:v>I2.0</x:v>
      </x:c>
      <x:c r="N28" s="6" t="str">
        <x:v>24 VDC switched</x:v>
      </x:c>
      <x:c r="O28" s="6" t="str">
        <x:v>W0029</x:v>
      </x:c>
      <x:c r="P28" s="6" t="str"/>
      <x:c r="Q28" s="6" t="str">
        <x:v>Controlled Rev-D topology; conductor size/terminal family and native QET continuity verification remain open</x:v>
      </x:c>
    </x:row>
    <x:row r="29" ht="27" customHeight="1">
      <x:c r="A29" s="6" t="str">
        <x:v>X101:4</x:v>
      </x:c>
      <x:c r="B29" s="6" t="str">
        <x:v>=FC01+CP01-X101</x:v>
      </x:c>
      <x:c r="C29" s="6" t="str">
        <x:v>FILL_VALVE_1_CLOSED_FB</x:v>
      </x:c>
      <x:c r="D29" s="6" t="str">
        <x:v>Sensor/interface supply</x:v>
      </x:c>
      <x:c r="E29" s="6" t="str">
        <x:v>C010</x:v>
      </x:c>
      <x:c r="F29" s="6" t="str">
        <x:v>2</x:v>
      </x:c>
      <x:c r="G29" s="6" t="str">
        <x:v>-B130</x:v>
      </x:c>
      <x:c r="H29" s="6" t="str">
        <x:v>=FC01+FLD-B130</x:v>
      </x:c>
      <x:c r="I29" s="6" t="str">
        <x:v>1</x:v>
      </x:c>
      <x:c r="J29" s="6" t="str">
        <x:v>-A102</x:v>
      </x:c>
      <x:c r="K29" s="6" t="str">
        <x:v>=FC01+CP01-A102</x:v>
      </x:c>
      <x:c r="L29" s="6" t="str">
        <x:v>16</x:v>
      </x:c>
      <x:c r="M29" s="6" t="str">
        <x:v>I2.0</x:v>
      </x:c>
      <x:c r="N29" s="6" t="str">
        <x:v>+24VDC fused</x:v>
      </x:c>
      <x:c r="O29" s="6" t="str">
        <x:v>W0030</x:v>
      </x:c>
      <x:c r="P29" s="6" t="str"/>
      <x:c r="Q29" s="6" t="str">
        <x:v>Controlled Rev-D topology; conductor size/terminal family and native QET continuity verification remain open</x:v>
      </x:c>
    </x:row>
    <x:row r="30" ht="27" customHeight="1">
      <x:c r="A30" s="6" t="str">
        <x:v>X101:5</x:v>
      </x:c>
      <x:c r="B30" s="6" t="str">
        <x:v>=FC01+CP01-X101</x:v>
      </x:c>
      <x:c r="C30" s="6" t="str">
        <x:v>FILL_VALVE_1_CLOSED_FB</x:v>
      </x:c>
      <x:c r="D30" s="6" t="str">
        <x:v>Sensor/interface return</x:v>
      </x:c>
      <x:c r="E30" s="6" t="str">
        <x:v>C010</x:v>
      </x:c>
      <x:c r="F30" s="6" t="str">
        <x:v>3</x:v>
      </x:c>
      <x:c r="G30" s="6" t="str">
        <x:v>-B130</x:v>
      </x:c>
      <x:c r="H30" s="6" t="str">
        <x:v>=FC01+FLD-B130</x:v>
      </x:c>
      <x:c r="I30" s="6" t="str">
        <x:v>3</x:v>
      </x:c>
      <x:c r="J30" s="6" t="str">
        <x:v>-A102</x:v>
      </x:c>
      <x:c r="K30" s="6" t="str">
        <x:v>=FC01+CP01-A102</x:v>
      </x:c>
      <x:c r="L30" s="6" t="str">
        <x:v>16</x:v>
      </x:c>
      <x:c r="M30" s="6" t="str">
        <x:v>I2.0</x:v>
      </x:c>
      <x:c r="N30" s="6" t="str">
        <x:v>0V</x:v>
      </x:c>
      <x:c r="O30" s="6" t="str">
        <x:v>W0031</x:v>
      </x:c>
      <x:c r="P30" s="6" t="str">
        <x:v>X0:0V</x:v>
      </x:c>
      <x:c r="Q30" s="6" t="str">
        <x:v>Controlled Rev-D topology; conductor size/terminal family and native QET continuity verification remain open</x:v>
      </x:c>
    </x:row>
    <x:row r="31" ht="27" customHeight="1">
      <x:c r="A31" s="6" t="str">
        <x:v>X101:6</x:v>
      </x:c>
      <x:c r="B31" s="6" t="str">
        <x:v>=FC01+CP01-X101</x:v>
      </x:c>
      <x:c r="C31" s="6" t="str">
        <x:v>FILL_VALVE_2_CLOSED_FB</x:v>
      </x:c>
      <x:c r="D31" s="6" t="str">
        <x:v>PNP signal</x:v>
      </x:c>
      <x:c r="E31" s="6" t="str">
        <x:v>C011</x:v>
      </x:c>
      <x:c r="F31" s="6" t="str">
        <x:v>1</x:v>
      </x:c>
      <x:c r="G31" s="6" t="str">
        <x:v>-B131</x:v>
      </x:c>
      <x:c r="H31" s="6" t="str">
        <x:v>=FC01+FLD-B131</x:v>
      </x:c>
      <x:c r="I31" s="6" t="str">
        <x:v>4</x:v>
      </x:c>
      <x:c r="J31" s="6" t="str">
        <x:v>-A102</x:v>
      </x:c>
      <x:c r="K31" s="6" t="str">
        <x:v>=FC01+CP01-A102</x:v>
      </x:c>
      <x:c r="L31" s="6" t="str">
        <x:v>17</x:v>
      </x:c>
      <x:c r="M31" s="6" t="str">
        <x:v>I2.1</x:v>
      </x:c>
      <x:c r="N31" s="6" t="str">
        <x:v>24 VDC switched</x:v>
      </x:c>
      <x:c r="O31" s="6" t="str">
        <x:v>W0032</x:v>
      </x:c>
      <x:c r="P31" s="6" t="str"/>
      <x:c r="Q31" s="6" t="str">
        <x:v>Controlled Rev-D topology; conductor size/terminal family and native QET continuity verification remain open</x:v>
      </x:c>
    </x:row>
    <x:row r="32" ht="27" customHeight="1">
      <x:c r="A32" s="6" t="str">
        <x:v>X101:7</x:v>
      </x:c>
      <x:c r="B32" s="6" t="str">
        <x:v>=FC01+CP01-X101</x:v>
      </x:c>
      <x:c r="C32" s="6" t="str">
        <x:v>FILL_VALVE_2_CLOSED_FB</x:v>
      </x:c>
      <x:c r="D32" s="6" t="str">
        <x:v>Sensor/interface supply</x:v>
      </x:c>
      <x:c r="E32" s="6" t="str">
        <x:v>C011</x:v>
      </x:c>
      <x:c r="F32" s="6" t="str">
        <x:v>2</x:v>
      </x:c>
      <x:c r="G32" s="6" t="str">
        <x:v>-B131</x:v>
      </x:c>
      <x:c r="H32" s="6" t="str">
        <x:v>=FC01+FLD-B131</x:v>
      </x:c>
      <x:c r="I32" s="6" t="str">
        <x:v>1</x:v>
      </x:c>
      <x:c r="J32" s="6" t="str">
        <x:v>-A102</x:v>
      </x:c>
      <x:c r="K32" s="6" t="str">
        <x:v>=FC01+CP01-A102</x:v>
      </x:c>
      <x:c r="L32" s="6" t="str">
        <x:v>17</x:v>
      </x:c>
      <x:c r="M32" s="6" t="str">
        <x:v>I2.1</x:v>
      </x:c>
      <x:c r="N32" s="6" t="str">
        <x:v>+24VDC fused</x:v>
      </x:c>
      <x:c r="O32" s="6" t="str">
        <x:v>W0033</x:v>
      </x:c>
      <x:c r="P32" s="6" t="str"/>
      <x:c r="Q32" s="6" t="str">
        <x:v>Controlled Rev-D topology; conductor size/terminal family and native QET continuity verification remain open</x:v>
      </x:c>
    </x:row>
    <x:row r="33" ht="27" customHeight="1">
      <x:c r="A33" s="6" t="str">
        <x:v>X101:8</x:v>
      </x:c>
      <x:c r="B33" s="6" t="str">
        <x:v>=FC01+CP01-X101</x:v>
      </x:c>
      <x:c r="C33" s="6" t="str">
        <x:v>FILL_VALVE_2_CLOSED_FB</x:v>
      </x:c>
      <x:c r="D33" s="6" t="str">
        <x:v>Sensor/interface return</x:v>
      </x:c>
      <x:c r="E33" s="6" t="str">
        <x:v>C011</x:v>
      </x:c>
      <x:c r="F33" s="6" t="str">
        <x:v>3</x:v>
      </x:c>
      <x:c r="G33" s="6" t="str">
        <x:v>-B131</x:v>
      </x:c>
      <x:c r="H33" s="6" t="str">
        <x:v>=FC01+FLD-B131</x:v>
      </x:c>
      <x:c r="I33" s="6" t="str">
        <x:v>3</x:v>
      </x:c>
      <x:c r="J33" s="6" t="str">
        <x:v>-A102</x:v>
      </x:c>
      <x:c r="K33" s="6" t="str">
        <x:v>=FC01+CP01-A102</x:v>
      </x:c>
      <x:c r="L33" s="6" t="str">
        <x:v>17</x:v>
      </x:c>
      <x:c r="M33" s="6" t="str">
        <x:v>I2.1</x:v>
      </x:c>
      <x:c r="N33" s="6" t="str">
        <x:v>0V</x:v>
      </x:c>
      <x:c r="O33" s="6" t="str">
        <x:v>W0034</x:v>
      </x:c>
      <x:c r="P33" s="6" t="str">
        <x:v>X0:0V</x:v>
      </x:c>
      <x:c r="Q33" s="6" t="str">
        <x:v>Controlled Rev-D topology; conductor size/terminal family and native QET continuity verification remain open</x:v>
      </x:c>
    </x:row>
    <x:row r="34" ht="27" customHeight="1">
      <x:c r="A34" s="6" t="str">
        <x:v>X101:9</x:v>
      </x:c>
      <x:c r="B34" s="6" t="str">
        <x:v>=FC01+CP01-X101</x:v>
      </x:c>
      <x:c r="C34" s="6" t="str">
        <x:v>CAPPER_READY</x:v>
      </x:c>
      <x:c r="D34" s="6" t="str">
        <x:v>PNP signal</x:v>
      </x:c>
      <x:c r="E34" s="6" t="str">
        <x:v>C012</x:v>
      </x:c>
      <x:c r="F34" s="6" t="str">
        <x:v>1</x:v>
      </x:c>
      <x:c r="G34" s="6" t="str">
        <x:v>-IF140</x:v>
      </x:c>
      <x:c r="H34" s="6" t="str">
        <x:v>=FC01+FLD-IF140</x:v>
      </x:c>
      <x:c r="I34" s="6" t="str">
        <x:v>4</x:v>
      </x:c>
      <x:c r="J34" s="6" t="str">
        <x:v>-A102</x:v>
      </x:c>
      <x:c r="K34" s="6" t="str">
        <x:v>=FC01+CP01-A102</x:v>
      </x:c>
      <x:c r="L34" s="6" t="str">
        <x:v>18</x:v>
      </x:c>
      <x:c r="M34" s="6" t="str">
        <x:v>I2.2</x:v>
      </x:c>
      <x:c r="N34" s="6" t="str">
        <x:v>24 VDC switched</x:v>
      </x:c>
      <x:c r="O34" s="6" t="str">
        <x:v>W0035</x:v>
      </x:c>
      <x:c r="P34" s="6" t="str"/>
      <x:c r="Q34" s="6" t="str">
        <x:v>Controlled Rev-D topology; conductor size/terminal family and native QET continuity verification remain open</x:v>
      </x:c>
    </x:row>
    <x:row r="35" ht="27" customHeight="1">
      <x:c r="A35" s="6" t="str">
        <x:v>X101:10</x:v>
      </x:c>
      <x:c r="B35" s="6" t="str">
        <x:v>=FC01+CP01-X101</x:v>
      </x:c>
      <x:c r="C35" s="6" t="str">
        <x:v>CAPPER_READY</x:v>
      </x:c>
      <x:c r="D35" s="6" t="str">
        <x:v>Sensor/interface supply</x:v>
      </x:c>
      <x:c r="E35" s="6" t="str">
        <x:v>C012</x:v>
      </x:c>
      <x:c r="F35" s="6" t="str">
        <x:v>2</x:v>
      </x:c>
      <x:c r="G35" s="6" t="str">
        <x:v>-IF140</x:v>
      </x:c>
      <x:c r="H35" s="6" t="str">
        <x:v>=FC01+FLD-IF140</x:v>
      </x:c>
      <x:c r="I35" s="6" t="str">
        <x:v>1</x:v>
      </x:c>
      <x:c r="J35" s="6" t="str">
        <x:v>-A102</x:v>
      </x:c>
      <x:c r="K35" s="6" t="str">
        <x:v>=FC01+CP01-A102</x:v>
      </x:c>
      <x:c r="L35" s="6" t="str">
        <x:v>18</x:v>
      </x:c>
      <x:c r="M35" s="6" t="str">
        <x:v>I2.2</x:v>
      </x:c>
      <x:c r="N35" s="6" t="str">
        <x:v>+24VDC fused</x:v>
      </x:c>
      <x:c r="O35" s="6" t="str">
        <x:v>W0036</x:v>
      </x:c>
      <x:c r="P35" s="6" t="str"/>
      <x:c r="Q35" s="6" t="str">
        <x:v>Controlled Rev-D topology; conductor size/terminal family and native QET continuity verification remain open</x:v>
      </x:c>
    </x:row>
    <x:row r="36" ht="27" customHeight="1">
      <x:c r="A36" s="6" t="str">
        <x:v>X101:11</x:v>
      </x:c>
      <x:c r="B36" s="6" t="str">
        <x:v>=FC01+CP01-X101</x:v>
      </x:c>
      <x:c r="C36" s="6" t="str">
        <x:v>CAPPER_READY</x:v>
      </x:c>
      <x:c r="D36" s="6" t="str">
        <x:v>Sensor/interface return</x:v>
      </x:c>
      <x:c r="E36" s="6" t="str">
        <x:v>C012</x:v>
      </x:c>
      <x:c r="F36" s="6" t="str">
        <x:v>3</x:v>
      </x:c>
      <x:c r="G36" s="6" t="str">
        <x:v>-IF140</x:v>
      </x:c>
      <x:c r="H36" s="6" t="str">
        <x:v>=FC01+FLD-IF140</x:v>
      </x:c>
      <x:c r="I36" s="6" t="str">
        <x:v>2</x:v>
      </x:c>
      <x:c r="J36" s="6" t="str">
        <x:v>-A102</x:v>
      </x:c>
      <x:c r="K36" s="6" t="str">
        <x:v>=FC01+CP01-A102</x:v>
      </x:c>
      <x:c r="L36" s="6" t="str">
        <x:v>18</x:v>
      </x:c>
      <x:c r="M36" s="6" t="str">
        <x:v>I2.2</x:v>
      </x:c>
      <x:c r="N36" s="6" t="str">
        <x:v>0V</x:v>
      </x:c>
      <x:c r="O36" s="6" t="str">
        <x:v>W0037</x:v>
      </x:c>
      <x:c r="P36" s="6" t="str">
        <x:v>X0:0V</x:v>
      </x:c>
      <x:c r="Q36" s="6" t="str">
        <x:v>Controlled Rev-D topology; conductor size/terminal family and native QET continuity verification remain open</x:v>
      </x:c>
    </x:row>
    <x:row r="37" ht="27" customHeight="1">
      <x:c r="A37" s="6" t="str">
        <x:v>X101:12</x:v>
      </x:c>
      <x:c r="B37" s="6" t="str">
        <x:v>=FC01+CP01-X101</x:v>
      </x:c>
      <x:c r="C37" s="6" t="str">
        <x:v>CAPPER_BUSY</x:v>
      </x:c>
      <x:c r="D37" s="6" t="str">
        <x:v>PNP signal</x:v>
      </x:c>
      <x:c r="E37" s="6" t="str">
        <x:v>C012</x:v>
      </x:c>
      <x:c r="F37" s="6" t="str">
        <x:v>4</x:v>
      </x:c>
      <x:c r="G37" s="6" t="str">
        <x:v>-IF140</x:v>
      </x:c>
      <x:c r="H37" s="6" t="str">
        <x:v>=FC01+FLD-IF140</x:v>
      </x:c>
      <x:c r="I37" s="6" t="str">
        <x:v>5</x:v>
      </x:c>
      <x:c r="J37" s="6" t="str">
        <x:v>-A102</x:v>
      </x:c>
      <x:c r="K37" s="6" t="str">
        <x:v>=FC01+CP01-A102</x:v>
      </x:c>
      <x:c r="L37" s="6" t="str">
        <x:v>19</x:v>
      </x:c>
      <x:c r="M37" s="6" t="str">
        <x:v>I2.3</x:v>
      </x:c>
      <x:c r="N37" s="6" t="str">
        <x:v>24 VDC switched</x:v>
      </x:c>
      <x:c r="O37" s="6" t="str">
        <x:v>W0038</x:v>
      </x:c>
      <x:c r="P37" s="6" t="str"/>
      <x:c r="Q37" s="6" t="str">
        <x:v>Controlled Rev-D topology; conductor size/terminal family and native QET continuity verification remain open</x:v>
      </x:c>
    </x:row>
    <x:row r="38" ht="27" customHeight="1">
      <x:c r="A38" s="6" t="str">
        <x:v>X101:13</x:v>
      </x:c>
      <x:c r="B38" s="6" t="str">
        <x:v>=FC01+CP01-X101</x:v>
      </x:c>
      <x:c r="C38" s="6" t="str">
        <x:v>CAPPER_COMPLETE</x:v>
      </x:c>
      <x:c r="D38" s="6" t="str">
        <x:v>PNP signal</x:v>
      </x:c>
      <x:c r="E38" s="6" t="str">
        <x:v>C012</x:v>
      </x:c>
      <x:c r="F38" s="6" t="str">
        <x:v>5</x:v>
      </x:c>
      <x:c r="G38" s="6" t="str">
        <x:v>-IF140</x:v>
      </x:c>
      <x:c r="H38" s="6" t="str">
        <x:v>=FC01+FLD-IF140</x:v>
      </x:c>
      <x:c r="I38" s="6" t="str">
        <x:v>6</x:v>
      </x:c>
      <x:c r="J38" s="6" t="str">
        <x:v>-A102</x:v>
      </x:c>
      <x:c r="K38" s="6" t="str">
        <x:v>=FC01+CP01-A102</x:v>
      </x:c>
      <x:c r="L38" s="6" t="str">
        <x:v>20</x:v>
      </x:c>
      <x:c r="M38" s="6" t="str">
        <x:v>I2.4</x:v>
      </x:c>
      <x:c r="N38" s="6" t="str">
        <x:v>24 VDC switched</x:v>
      </x:c>
      <x:c r="O38" s="6" t="str">
        <x:v>W0039</x:v>
      </x:c>
      <x:c r="P38" s="6" t="str"/>
      <x:c r="Q38" s="6" t="str">
        <x:v>Controlled Rev-D topology; conductor size/terminal family and native QET continuity verification remain open</x:v>
      </x:c>
    </x:row>
    <x:row r="39" ht="27" customHeight="1">
      <x:c r="A39" s="6" t="str">
        <x:v>X101:14</x:v>
      </x:c>
      <x:c r="B39" s="6" t="str">
        <x:v>=FC01+CP01-X101</x:v>
      </x:c>
      <x:c r="C39" s="6" t="str">
        <x:v>CAPPER_FAULT</x:v>
      </x:c>
      <x:c r="D39" s="6" t="str">
        <x:v>PNP signal</x:v>
      </x:c>
      <x:c r="E39" s="6" t="str">
        <x:v>C012</x:v>
      </x:c>
      <x:c r="F39" s="6" t="str">
        <x:v>6</x:v>
      </x:c>
      <x:c r="G39" s="6" t="str">
        <x:v>-IF140</x:v>
      </x:c>
      <x:c r="H39" s="6" t="str">
        <x:v>=FC01+FLD-IF140</x:v>
      </x:c>
      <x:c r="I39" s="6" t="str">
        <x:v>7</x:v>
      </x:c>
      <x:c r="J39" s="6" t="str">
        <x:v>-A102</x:v>
      </x:c>
      <x:c r="K39" s="6" t="str">
        <x:v>=FC01+CP01-A102</x:v>
      </x:c>
      <x:c r="L39" s="6" t="str">
        <x:v>21</x:v>
      </x:c>
      <x:c r="M39" s="6" t="str">
        <x:v>I2.5</x:v>
      </x:c>
      <x:c r="N39" s="6" t="str">
        <x:v>24 VDC switched</x:v>
      </x:c>
      <x:c r="O39" s="6" t="str">
        <x:v>W0040</x:v>
      </x:c>
      <x:c r="P39" s="6" t="str"/>
      <x:c r="Q39" s="6" t="str">
        <x:v>Controlled Rev-D topology; conductor size/terminal family and native QET continuity verification remain open</x:v>
      </x:c>
    </x:row>
    <x:row r="40" ht="27" customHeight="1">
      <x:c r="A40" s="6" t="str">
        <x:v>X101:15</x:v>
      </x:c>
      <x:c r="B40" s="6" t="str">
        <x:v>=FC01+CP01-X101</x:v>
      </x:c>
      <x:c r="C40" s="6" t="str">
        <x:v>LOCAL_RESET_PB</x:v>
      </x:c>
      <x:c r="D40" s="6" t="str">
        <x:v>PNP signal</x:v>
      </x:c>
      <x:c r="E40" s="6" t="str">
        <x:v>C013</x:v>
      </x:c>
      <x:c r="F40" s="6" t="str">
        <x:v>1</x:v>
      </x:c>
      <x:c r="G40" s="6" t="str">
        <x:v>-S100</x:v>
      </x:c>
      <x:c r="H40" s="6" t="str">
        <x:v>=FC01+FLD-S100</x:v>
      </x:c>
      <x:c r="I40" s="6" t="str">
        <x:v>4</x:v>
      </x:c>
      <x:c r="J40" s="6" t="str">
        <x:v>-A102</x:v>
      </x:c>
      <x:c r="K40" s="6" t="str">
        <x:v>=FC01+CP01-A102</x:v>
      </x:c>
      <x:c r="L40" s="6" t="str">
        <x:v>22</x:v>
      </x:c>
      <x:c r="M40" s="6" t="str">
        <x:v>I2.6</x:v>
      </x:c>
      <x:c r="N40" s="6" t="str">
        <x:v>24 VDC switched</x:v>
      </x:c>
      <x:c r="O40" s="6" t="str">
        <x:v>W0041</x:v>
      </x:c>
      <x:c r="P40" s="6" t="str"/>
      <x:c r="Q40" s="6" t="str">
        <x:v>Controlled Rev-D topology; conductor size/terminal family and native QET continuity verification remain open</x:v>
      </x:c>
    </x:row>
    <x:row r="41" ht="27" customHeight="1">
      <x:c r="A41" s="6" t="str">
        <x:v>X101:16</x:v>
      </x:c>
      <x:c r="B41" s="6" t="str">
        <x:v>=FC01+CP01-X101</x:v>
      </x:c>
      <x:c r="C41" s="6" t="str">
        <x:v>LOCAL_RESET_PB</x:v>
      </x:c>
      <x:c r="D41" s="6" t="str">
        <x:v>Sensor/interface supply</x:v>
      </x:c>
      <x:c r="E41" s="6" t="str">
        <x:v>C013</x:v>
      </x:c>
      <x:c r="F41" s="6" t="str">
        <x:v>2</x:v>
      </x:c>
      <x:c r="G41" s="6" t="str">
        <x:v>-S100</x:v>
      </x:c>
      <x:c r="H41" s="6" t="str">
        <x:v>=FC01+FLD-S100</x:v>
      </x:c>
      <x:c r="I41" s="6" t="str">
        <x:v>1</x:v>
      </x:c>
      <x:c r="J41" s="6" t="str">
        <x:v>-A102</x:v>
      </x:c>
      <x:c r="K41" s="6" t="str">
        <x:v>=FC01+CP01-A102</x:v>
      </x:c>
      <x:c r="L41" s="6" t="str">
        <x:v>22</x:v>
      </x:c>
      <x:c r="M41" s="6" t="str">
        <x:v>I2.6</x:v>
      </x:c>
      <x:c r="N41" s="6" t="str">
        <x:v>+24VDC fused</x:v>
      </x:c>
      <x:c r="O41" s="6" t="str">
        <x:v>W0042</x:v>
      </x:c>
      <x:c r="P41" s="6" t="str"/>
      <x:c r="Q41" s="6" t="str">
        <x:v>Controlled Rev-D topology; conductor size/terminal family and native QET continuity verification remain open</x:v>
      </x:c>
    </x:row>
    <x:row r="42" ht="27" customHeight="1">
      <x:c r="A42" s="6" t="str">
        <x:v>X101:17</x:v>
      </x:c>
      <x:c r="B42" s="6" t="str">
        <x:v>=FC01+CP01-X101</x:v>
      </x:c>
      <x:c r="C42" s="6" t="str">
        <x:v>LOCAL_RESET_PB</x:v>
      </x:c>
      <x:c r="D42" s="6" t="str">
        <x:v>Sensor/interface return</x:v>
      </x:c>
      <x:c r="E42" s="6" t="str">
        <x:v>C013</x:v>
      </x:c>
      <x:c r="F42" s="6" t="str">
        <x:v>3</x:v>
      </x:c>
      <x:c r="G42" s="6" t="str">
        <x:v>-S100</x:v>
      </x:c>
      <x:c r="H42" s="6" t="str">
        <x:v>=FC01+FLD-S100</x:v>
      </x:c>
      <x:c r="I42" s="6" t="str">
        <x:v>3</x:v>
      </x:c>
      <x:c r="J42" s="6" t="str">
        <x:v>-A102</x:v>
      </x:c>
      <x:c r="K42" s="6" t="str">
        <x:v>=FC01+CP01-A102</x:v>
      </x:c>
      <x:c r="L42" s="6" t="str">
        <x:v>22</x:v>
      </x:c>
      <x:c r="M42" s="6" t="str">
        <x:v>I2.6</x:v>
      </x:c>
      <x:c r="N42" s="6" t="str">
        <x:v>0V</x:v>
      </x:c>
      <x:c r="O42" s="6" t="str">
        <x:v>W0043</x:v>
      </x:c>
      <x:c r="P42" s="6" t="str">
        <x:v>X0:0V</x:v>
      </x:c>
      <x:c r="Q42" s="6" t="str">
        <x:v>Controlled Rev-D topology; conductor size/terminal family and native QET continuity verification remain open</x:v>
      </x:c>
    </x:row>
    <x:row r="43" ht="27" customHeight="1">
      <x:c r="A43" s="6" t="str">
        <x:v>X101:18</x:v>
      </x:c>
      <x:c r="B43" s="6" t="str">
        <x:v>=FC01+CP01-X101</x:v>
      </x:c>
      <x:c r="C43" s="6" t="str">
        <x:v>LOCAL_STOP_PB</x:v>
      </x:c>
      <x:c r="D43" s="6" t="str">
        <x:v>PNP signal</x:v>
      </x:c>
      <x:c r="E43" s="6" t="str">
        <x:v>C014</x:v>
      </x:c>
      <x:c r="F43" s="6" t="str">
        <x:v>1</x:v>
      </x:c>
      <x:c r="G43" s="6" t="str">
        <x:v>-S101</x:v>
      </x:c>
      <x:c r="H43" s="6" t="str">
        <x:v>=FC01+FLD-S101</x:v>
      </x:c>
      <x:c r="I43" s="6" t="str">
        <x:v>4</x:v>
      </x:c>
      <x:c r="J43" s="6" t="str">
        <x:v>-A102</x:v>
      </x:c>
      <x:c r="K43" s="6" t="str">
        <x:v>=FC01+CP01-A102</x:v>
      </x:c>
      <x:c r="L43" s="6" t="str">
        <x:v>23</x:v>
      </x:c>
      <x:c r="M43" s="6" t="str">
        <x:v>I2.7</x:v>
      </x:c>
      <x:c r="N43" s="6" t="str">
        <x:v>24 VDC switched</x:v>
      </x:c>
      <x:c r="O43" s="6" t="str">
        <x:v>W0044</x:v>
      </x:c>
      <x:c r="P43" s="6" t="str"/>
      <x:c r="Q43" s="6" t="str">
        <x:v>Controlled Rev-D topology; conductor size/terminal family and native QET continuity verification remain open</x:v>
      </x:c>
    </x:row>
    <x:row r="44" ht="27" customHeight="1">
      <x:c r="A44" s="6" t="str">
        <x:v>X101:19</x:v>
      </x:c>
      <x:c r="B44" s="6" t="str">
        <x:v>=FC01+CP01-X101</x:v>
      </x:c>
      <x:c r="C44" s="6" t="str">
        <x:v>LOCAL_STOP_PB</x:v>
      </x:c>
      <x:c r="D44" s="6" t="str">
        <x:v>Sensor/interface supply</x:v>
      </x:c>
      <x:c r="E44" s="6" t="str">
        <x:v>C014</x:v>
      </x:c>
      <x:c r="F44" s="6" t="str">
        <x:v>2</x:v>
      </x:c>
      <x:c r="G44" s="6" t="str">
        <x:v>-S101</x:v>
      </x:c>
      <x:c r="H44" s="6" t="str">
        <x:v>=FC01+FLD-S101</x:v>
      </x:c>
      <x:c r="I44" s="6" t="str">
        <x:v>1</x:v>
      </x:c>
      <x:c r="J44" s="6" t="str">
        <x:v>-A102</x:v>
      </x:c>
      <x:c r="K44" s="6" t="str">
        <x:v>=FC01+CP01-A102</x:v>
      </x:c>
      <x:c r="L44" s="6" t="str">
        <x:v>23</x:v>
      </x:c>
      <x:c r="M44" s="6" t="str">
        <x:v>I2.7</x:v>
      </x:c>
      <x:c r="N44" s="6" t="str">
        <x:v>+24VDC fused</x:v>
      </x:c>
      <x:c r="O44" s="6" t="str">
        <x:v>W0045</x:v>
      </x:c>
      <x:c r="P44" s="6" t="str"/>
      <x:c r="Q44" s="6" t="str">
        <x:v>Controlled Rev-D topology; conductor size/terminal family and native QET continuity verification remain open</x:v>
      </x:c>
    </x:row>
    <x:row r="45" ht="27" customHeight="1">
      <x:c r="A45" s="6" t="str">
        <x:v>X101:20</x:v>
      </x:c>
      <x:c r="B45" s="6" t="str">
        <x:v>=FC01+CP01-X101</x:v>
      </x:c>
      <x:c r="C45" s="6" t="str">
        <x:v>LOCAL_STOP_PB</x:v>
      </x:c>
      <x:c r="D45" s="6" t="str">
        <x:v>Sensor/interface return</x:v>
      </x:c>
      <x:c r="E45" s="6" t="str">
        <x:v>C014</x:v>
      </x:c>
      <x:c r="F45" s="6" t="str">
        <x:v>3</x:v>
      </x:c>
      <x:c r="G45" s="6" t="str">
        <x:v>-S101</x:v>
      </x:c>
      <x:c r="H45" s="6" t="str">
        <x:v>=FC01+FLD-S101</x:v>
      </x:c>
      <x:c r="I45" s="6" t="str">
        <x:v>3</x:v>
      </x:c>
      <x:c r="J45" s="6" t="str">
        <x:v>-A102</x:v>
      </x:c>
      <x:c r="K45" s="6" t="str">
        <x:v>=FC01+CP01-A102</x:v>
      </x:c>
      <x:c r="L45" s="6" t="str">
        <x:v>23</x:v>
      </x:c>
      <x:c r="M45" s="6" t="str">
        <x:v>I2.7</x:v>
      </x:c>
      <x:c r="N45" s="6" t="str">
        <x:v>0V</x:v>
      </x:c>
      <x:c r="O45" s="6" t="str">
        <x:v>W0046</x:v>
      </x:c>
      <x:c r="P45" s="6" t="str">
        <x:v>X0:0V</x:v>
      </x:c>
      <x:c r="Q45" s="6" t="str">
        <x:v>Controlled Rev-D topology; conductor size/terminal family and native QET continuity verification remain open</x:v>
      </x:c>
    </x:row>
    <x:row r="46" ht="27" customHeight="1">
      <x:c r="A46" s="6" t="str">
        <x:v>X101:21</x:v>
      </x:c>
      <x:c r="B46" s="6" t="str">
        <x:v>=FC01+CP01-X101</x:v>
      </x:c>
      <x:c r="C46" s="6" t="str">
        <x:v>FILL_VALVE_1_OPEN_CMD</x:v>
      </x:c>
      <x:c r="D46" s="6" t="str">
        <x:v>Relay contact 14 to field load</x:v>
      </x:c>
      <x:c r="E46" s="6" t="str">
        <x:v>C015</x:v>
      </x:c>
      <x:c r="F46" s="6" t="str">
        <x:v>1</x:v>
      </x:c>
      <x:c r="G46" s="6" t="str">
        <x:v>-YV102</x:v>
      </x:c>
      <x:c r="H46" s="6" t="str">
        <x:v>=FC01+FLD-YV102</x:v>
      </x:c>
      <x:c r="I46" s="6" t="str">
        <x:v>1</x:v>
      </x:c>
      <x:c r="J46" s="6" t="str">
        <x:v>-A103</x:v>
      </x:c>
      <x:c r="K46" s="6" t="str">
        <x:v>=FC01+CP01-A103</x:v>
      </x:c>
      <x:c r="L46" s="6" t="str">
        <x:v>2</x:v>
      </x:c>
      <x:c r="M46" s="6" t="str">
        <x:v>Q0.2</x:v>
      </x:c>
      <x:c r="N46" s="6" t="str">
        <x:v>+24VDC switched</x:v>
      </x:c>
      <x:c r="O46" s="6" t="str">
        <x:v>W0050</x:v>
      </x:c>
      <x:c r="P46" s="6" t="str"/>
      <x:c r="Q46" s="6" t="str">
        <x:v>Controlled Rev-D topology; conductor size/terminal family and native QET continuity verification remain open</x:v>
      </x:c>
    </x:row>
    <x:row r="47" ht="27" customHeight="1">
      <x:c r="A47" s="6" t="str">
        <x:v>X101:22</x:v>
      </x:c>
      <x:c r="B47" s="6" t="str">
        <x:v>=FC01+CP01-X101</x:v>
      </x:c>
      <x:c r="C47" s="6" t="str">
        <x:v>FILL_VALVE_1_OPEN_CMD</x:v>
      </x:c>
      <x:c r="D47" s="6" t="str">
        <x:v>Field load return</x:v>
      </x:c>
      <x:c r="E47" s="6" t="str">
        <x:v>C015</x:v>
      </x:c>
      <x:c r="F47" s="6" t="str">
        <x:v>2</x:v>
      </x:c>
      <x:c r="G47" s="6" t="str">
        <x:v>-YV102</x:v>
      </x:c>
      <x:c r="H47" s="6" t="str">
        <x:v>=FC01+FLD-YV102</x:v>
      </x:c>
      <x:c r="I47" s="6" t="str">
        <x:v>2</x:v>
      </x:c>
      <x:c r="J47" s="6" t="str">
        <x:v>-A103</x:v>
      </x:c>
      <x:c r="K47" s="6" t="str">
        <x:v>=FC01+CP01-A103</x:v>
      </x:c>
      <x:c r="L47" s="6" t="str">
        <x:v>2</x:v>
      </x:c>
      <x:c r="M47" s="6" t="str">
        <x:v>Q0.2</x:v>
      </x:c>
      <x:c r="N47" s="6" t="str">
        <x:v>0V</x:v>
      </x:c>
      <x:c r="O47" s="6" t="str">
        <x:v>W0051</x:v>
      </x:c>
      <x:c r="P47" s="6" t="str">
        <x:v>X0:0V</x:v>
      </x:c>
      <x:c r="Q47" s="6" t="str">
        <x:v>Controlled Rev-D topology; conductor size/terminal family and native QET continuity verification remain open</x:v>
      </x:c>
    </x:row>
    <x:row r="48" ht="27" customHeight="1">
      <x:c r="A48" s="6" t="str">
        <x:v>X101:23</x:v>
      </x:c>
      <x:c r="B48" s="6" t="str">
        <x:v>=FC01+CP01-X101</x:v>
      </x:c>
      <x:c r="C48" s="6" t="str">
        <x:v>FILL_VALVE_2_OPEN_CMD</x:v>
      </x:c>
      <x:c r="D48" s="6" t="str">
        <x:v>Relay contact 14 to field load</x:v>
      </x:c>
      <x:c r="E48" s="6" t="str">
        <x:v>C016</x:v>
      </x:c>
      <x:c r="F48" s="6" t="str">
        <x:v>1</x:v>
      </x:c>
      <x:c r="G48" s="6" t="str">
        <x:v>-YV103</x:v>
      </x:c>
      <x:c r="H48" s="6" t="str">
        <x:v>=FC01+FLD-YV103</x:v>
      </x:c>
      <x:c r="I48" s="6" t="str">
        <x:v>1</x:v>
      </x:c>
      <x:c r="J48" s="6" t="str">
        <x:v>-A103</x:v>
      </x:c>
      <x:c r="K48" s="6" t="str">
        <x:v>=FC01+CP01-A103</x:v>
      </x:c>
      <x:c r="L48" s="6" t="str">
        <x:v>3</x:v>
      </x:c>
      <x:c r="M48" s="6" t="str">
        <x:v>Q0.3</x:v>
      </x:c>
      <x:c r="N48" s="6" t="str">
        <x:v>+24VDC switched</x:v>
      </x:c>
      <x:c r="O48" s="6" t="str">
        <x:v>W0055</x:v>
      </x:c>
      <x:c r="P48" s="6" t="str"/>
      <x:c r="Q48" s="6" t="str">
        <x:v>Controlled Rev-D topology; conductor size/terminal family and native QET continuity verification remain open</x:v>
      </x:c>
    </x:row>
    <x:row r="49" ht="27" customHeight="1">
      <x:c r="A49" s="6" t="str">
        <x:v>X101:24</x:v>
      </x:c>
      <x:c r="B49" s="6" t="str">
        <x:v>=FC01+CP01-X101</x:v>
      </x:c>
      <x:c r="C49" s="6" t="str">
        <x:v>FILL_VALVE_2_OPEN_CMD</x:v>
      </x:c>
      <x:c r="D49" s="6" t="str">
        <x:v>Field load return</x:v>
      </x:c>
      <x:c r="E49" s="6" t="str">
        <x:v>C016</x:v>
      </x:c>
      <x:c r="F49" s="6" t="str">
        <x:v>2</x:v>
      </x:c>
      <x:c r="G49" s="6" t="str">
        <x:v>-YV103</x:v>
      </x:c>
      <x:c r="H49" s="6" t="str">
        <x:v>=FC01+FLD-YV103</x:v>
      </x:c>
      <x:c r="I49" s="6" t="str">
        <x:v>2</x:v>
      </x:c>
      <x:c r="J49" s="6" t="str">
        <x:v>-A103</x:v>
      </x:c>
      <x:c r="K49" s="6" t="str">
        <x:v>=FC01+CP01-A103</x:v>
      </x:c>
      <x:c r="L49" s="6" t="str">
        <x:v>3</x:v>
      </x:c>
      <x:c r="M49" s="6" t="str">
        <x:v>Q0.3</x:v>
      </x:c>
      <x:c r="N49" s="6" t="str">
        <x:v>0V</x:v>
      </x:c>
      <x:c r="O49" s="6" t="str">
        <x:v>W0056</x:v>
      </x:c>
      <x:c r="P49" s="6" t="str">
        <x:v>X0:0V</x:v>
      </x:c>
      <x:c r="Q49" s="6" t="str">
        <x:v>Controlled Rev-D topology; conductor size/terminal family and native QET continuity verification remain open</x:v>
      </x:c>
    </x:row>
    <x:row r="50" ht="27" customHeight="1">
      <x:c r="A50" s="6" t="str">
        <x:v>X102:1</x:v>
      </x:c>
      <x:c r="B50" s="6" t="str">
        <x:v>=FC01+CP01-X102</x:v>
      </x:c>
      <x:c r="C50" s="6" t="str">
        <x:v>GATE_OPEN_CMD</x:v>
      </x:c>
      <x:c r="D50" s="6" t="str">
        <x:v>Relay contact 14 to field load</x:v>
      </x:c>
      <x:c r="E50" s="6" t="str">
        <x:v>C017</x:v>
      </x:c>
      <x:c r="F50" s="6" t="str">
        <x:v>1</x:v>
      </x:c>
      <x:c r="G50" s="6" t="str">
        <x:v>-YV100</x:v>
      </x:c>
      <x:c r="H50" s="6" t="str">
        <x:v>=FC01+FLD-YV100</x:v>
      </x:c>
      <x:c r="I50" s="6" t="str">
        <x:v>1</x:v>
      </x:c>
      <x:c r="J50" s="6" t="str">
        <x:v>-A103</x:v>
      </x:c>
      <x:c r="K50" s="6" t="str">
        <x:v>=FC01+CP01-A103</x:v>
      </x:c>
      <x:c r="L50" s="6" t="str">
        <x:v>4</x:v>
      </x:c>
      <x:c r="M50" s="6" t="str">
        <x:v>Q0.4</x:v>
      </x:c>
      <x:c r="N50" s="6" t="str">
        <x:v>+24VDC switched</x:v>
      </x:c>
      <x:c r="O50" s="6" t="str">
        <x:v>W0060</x:v>
      </x:c>
      <x:c r="P50" s="6" t="str"/>
      <x:c r="Q50" s="6" t="str">
        <x:v>Controlled Rev-D topology; conductor size/terminal family and native QET continuity verification remain open</x:v>
      </x:c>
    </x:row>
    <x:row r="51" ht="27" customHeight="1">
      <x:c r="A51" s="6" t="str">
        <x:v>X102:2</x:v>
      </x:c>
      <x:c r="B51" s="6" t="str">
        <x:v>=FC01+CP01-X102</x:v>
      </x:c>
      <x:c r="C51" s="6" t="str">
        <x:v>GATE_OPEN_CMD</x:v>
      </x:c>
      <x:c r="D51" s="6" t="str">
        <x:v>Field load return</x:v>
      </x:c>
      <x:c r="E51" s="6" t="str">
        <x:v>C017</x:v>
      </x:c>
      <x:c r="F51" s="6" t="str">
        <x:v>2</x:v>
      </x:c>
      <x:c r="G51" s="6" t="str">
        <x:v>-YV100</x:v>
      </x:c>
      <x:c r="H51" s="6" t="str">
        <x:v>=FC01+FLD-YV100</x:v>
      </x:c>
      <x:c r="I51" s="6" t="str">
        <x:v>2</x:v>
      </x:c>
      <x:c r="J51" s="6" t="str">
        <x:v>-A103</x:v>
      </x:c>
      <x:c r="K51" s="6" t="str">
        <x:v>=FC01+CP01-A103</x:v>
      </x:c>
      <x:c r="L51" s="6" t="str">
        <x:v>4</x:v>
      </x:c>
      <x:c r="M51" s="6" t="str">
        <x:v>Q0.4</x:v>
      </x:c>
      <x:c r="N51" s="6" t="str">
        <x:v>0V</x:v>
      </x:c>
      <x:c r="O51" s="6" t="str">
        <x:v>W0061</x:v>
      </x:c>
      <x:c r="P51" s="6" t="str">
        <x:v>X0:0V</x:v>
      </x:c>
      <x:c r="Q51" s="6" t="str">
        <x:v>Controlled Rev-D topology; conductor size/terminal family and native QET continuity verification remain open</x:v>
      </x:c>
    </x:row>
    <x:row r="52" ht="27" customHeight="1">
      <x:c r="A52" s="6" t="str">
        <x:v>X102:3</x:v>
      </x:c>
      <x:c r="B52" s="6" t="str">
        <x:v>=FC01+CP01-X102</x:v>
      </x:c>
      <x:c r="C52" s="6" t="str">
        <x:v>GATE_CLOSE_CMD</x:v>
      </x:c>
      <x:c r="D52" s="6" t="str">
        <x:v>Relay contact 14 to field load</x:v>
      </x:c>
      <x:c r="E52" s="6" t="str">
        <x:v>C017</x:v>
      </x:c>
      <x:c r="F52" s="6" t="str">
        <x:v>3</x:v>
      </x:c>
      <x:c r="G52" s="6" t="str">
        <x:v>-YV100</x:v>
      </x:c>
      <x:c r="H52" s="6" t="str">
        <x:v>=FC01+FLD-YV100</x:v>
      </x:c>
      <x:c r="I52" s="6" t="str">
        <x:v>3</x:v>
      </x:c>
      <x:c r="J52" s="6" t="str">
        <x:v>-A103</x:v>
      </x:c>
      <x:c r="K52" s="6" t="str">
        <x:v>=FC01+CP01-A103</x:v>
      </x:c>
      <x:c r="L52" s="6" t="str">
        <x:v>5</x:v>
      </x:c>
      <x:c r="M52" s="6" t="str">
        <x:v>Q0.5</x:v>
      </x:c>
      <x:c r="N52" s="6" t="str">
        <x:v>+24VDC switched</x:v>
      </x:c>
      <x:c r="O52" s="6" t="str">
        <x:v>W0065</x:v>
      </x:c>
      <x:c r="P52" s="6" t="str"/>
      <x:c r="Q52" s="6" t="str">
        <x:v>Controlled Rev-D topology; conductor size/terminal family and native QET continuity verification remain open</x:v>
      </x:c>
    </x:row>
    <x:row r="53" ht="27" customHeight="1">
      <x:c r="A53" s="6" t="str">
        <x:v>X102:4</x:v>
      </x:c>
      <x:c r="B53" s="6" t="str">
        <x:v>=FC01+CP01-X102</x:v>
      </x:c>
      <x:c r="C53" s="6" t="str">
        <x:v>GATE_CLOSE_CMD</x:v>
      </x:c>
      <x:c r="D53" s="6" t="str">
        <x:v>Field load return</x:v>
      </x:c>
      <x:c r="E53" s="6" t="str">
        <x:v>C017</x:v>
      </x:c>
      <x:c r="F53" s="6" t="str">
        <x:v>4</x:v>
      </x:c>
      <x:c r="G53" s="6" t="str">
        <x:v>-YV100</x:v>
      </x:c>
      <x:c r="H53" s="6" t="str">
        <x:v>=FC01+FLD-YV100</x:v>
      </x:c>
      <x:c r="I53" s="6" t="str">
        <x:v>4</x:v>
      </x:c>
      <x:c r="J53" s="6" t="str">
        <x:v>-A103</x:v>
      </x:c>
      <x:c r="K53" s="6" t="str">
        <x:v>=FC01+CP01-A103</x:v>
      </x:c>
      <x:c r="L53" s="6" t="str">
        <x:v>5</x:v>
      </x:c>
      <x:c r="M53" s="6" t="str">
        <x:v>Q0.5</x:v>
      </x:c>
      <x:c r="N53" s="6" t="str">
        <x:v>0V</x:v>
      </x:c>
      <x:c r="O53" s="6" t="str">
        <x:v>W0066</x:v>
      </x:c>
      <x:c r="P53" s="6" t="str">
        <x:v>X0:0V</x:v>
      </x:c>
      <x:c r="Q53" s="6" t="str">
        <x:v>Controlled Rev-D topology; conductor size/terminal family and native QET continuity verification remain open</x:v>
      </x:c>
    </x:row>
    <x:row r="54" ht="27" customHeight="1">
      <x:c r="A54" s="6" t="str">
        <x:v>X102:5</x:v>
      </x:c>
      <x:c r="B54" s="6" t="str">
        <x:v>=FC01+CP01-X102</x:v>
      </x:c>
      <x:c r="C54" s="6" t="str">
        <x:v>CLAMP_ENGAGE_CMD</x:v>
      </x:c>
      <x:c r="D54" s="6" t="str">
        <x:v>Relay contact 14 to field load</x:v>
      </x:c>
      <x:c r="E54" s="6" t="str">
        <x:v>C018</x:v>
      </x:c>
      <x:c r="F54" s="6" t="str">
        <x:v>1</x:v>
      </x:c>
      <x:c r="G54" s="6" t="str">
        <x:v>-YV101</x:v>
      </x:c>
      <x:c r="H54" s="6" t="str">
        <x:v>=FC01+FLD-YV101</x:v>
      </x:c>
      <x:c r="I54" s="6" t="str">
        <x:v>1</x:v>
      </x:c>
      <x:c r="J54" s="6" t="str">
        <x:v>-A103</x:v>
      </x:c>
      <x:c r="K54" s="6" t="str">
        <x:v>=FC01+CP01-A103</x:v>
      </x:c>
      <x:c r="L54" s="6" t="str">
        <x:v>6</x:v>
      </x:c>
      <x:c r="M54" s="6" t="str">
        <x:v>Q0.6</x:v>
      </x:c>
      <x:c r="N54" s="6" t="str">
        <x:v>+24VDC switched</x:v>
      </x:c>
      <x:c r="O54" s="6" t="str">
        <x:v>W0070</x:v>
      </x:c>
      <x:c r="P54" s="6" t="str"/>
      <x:c r="Q54" s="6" t="str">
        <x:v>Controlled Rev-D topology; conductor size/terminal family and native QET continuity verification remain open</x:v>
      </x:c>
    </x:row>
    <x:row r="55" ht="27" customHeight="1">
      <x:c r="A55" s="6" t="str">
        <x:v>X102:6</x:v>
      </x:c>
      <x:c r="B55" s="6" t="str">
        <x:v>=FC01+CP01-X102</x:v>
      </x:c>
      <x:c r="C55" s="6" t="str">
        <x:v>CLAMP_ENGAGE_CMD</x:v>
      </x:c>
      <x:c r="D55" s="6" t="str">
        <x:v>Field load return</x:v>
      </x:c>
      <x:c r="E55" s="6" t="str">
        <x:v>C018</x:v>
      </x:c>
      <x:c r="F55" s="6" t="str">
        <x:v>2</x:v>
      </x:c>
      <x:c r="G55" s="6" t="str">
        <x:v>-YV101</x:v>
      </x:c>
      <x:c r="H55" s="6" t="str">
        <x:v>=FC01+FLD-YV101</x:v>
      </x:c>
      <x:c r="I55" s="6" t="str">
        <x:v>2</x:v>
      </x:c>
      <x:c r="J55" s="6" t="str">
        <x:v>-A103</x:v>
      </x:c>
      <x:c r="K55" s="6" t="str">
        <x:v>=FC01+CP01-A103</x:v>
      </x:c>
      <x:c r="L55" s="6" t="str">
        <x:v>6</x:v>
      </x:c>
      <x:c r="M55" s="6" t="str">
        <x:v>Q0.6</x:v>
      </x:c>
      <x:c r="N55" s="6" t="str">
        <x:v>0V</x:v>
      </x:c>
      <x:c r="O55" s="6" t="str">
        <x:v>W0071</x:v>
      </x:c>
      <x:c r="P55" s="6" t="str">
        <x:v>X0:0V</x:v>
      </x:c>
      <x:c r="Q55" s="6" t="str">
        <x:v>Controlled Rev-D topology; conductor size/terminal family and native QET continuity verification remain open</x:v>
      </x:c>
    </x:row>
    <x:row r="56" ht="27" customHeight="1">
      <x:c r="A56" s="6" t="str">
        <x:v>X102:7</x:v>
      </x:c>
      <x:c r="B56" s="6" t="str">
        <x:v>=FC01+CP01-X102</x:v>
      </x:c>
      <x:c r="C56" s="6" t="str">
        <x:v>CLAMP_RELEASE_CMD</x:v>
      </x:c>
      <x:c r="D56" s="6" t="str">
        <x:v>Relay contact 14 to field load</x:v>
      </x:c>
      <x:c r="E56" s="6" t="str">
        <x:v>C018</x:v>
      </x:c>
      <x:c r="F56" s="6" t="str">
        <x:v>3</x:v>
      </x:c>
      <x:c r="G56" s="6" t="str">
        <x:v>-YV101</x:v>
      </x:c>
      <x:c r="H56" s="6" t="str">
        <x:v>=FC01+FLD-YV101</x:v>
      </x:c>
      <x:c r="I56" s="6" t="str">
        <x:v>3</x:v>
      </x:c>
      <x:c r="J56" s="6" t="str">
        <x:v>-A103</x:v>
      </x:c>
      <x:c r="K56" s="6" t="str">
        <x:v>=FC01+CP01-A103</x:v>
      </x:c>
      <x:c r="L56" s="6" t="str">
        <x:v>7</x:v>
      </x:c>
      <x:c r="M56" s="6" t="str">
        <x:v>Q0.7</x:v>
      </x:c>
      <x:c r="N56" s="6" t="str">
        <x:v>+24VDC switched</x:v>
      </x:c>
      <x:c r="O56" s="6" t="str">
        <x:v>W0075</x:v>
      </x:c>
      <x:c r="P56" s="6" t="str"/>
      <x:c r="Q56" s="6" t="str">
        <x:v>Controlled Rev-D topology; conductor size/terminal family and native QET continuity verification remain open</x:v>
      </x:c>
    </x:row>
    <x:row r="57" ht="27" customHeight="1">
      <x:c r="A57" s="6" t="str">
        <x:v>X102:8</x:v>
      </x:c>
      <x:c r="B57" s="6" t="str">
        <x:v>=FC01+CP01-X102</x:v>
      </x:c>
      <x:c r="C57" s="6" t="str">
        <x:v>CLAMP_RELEASE_CMD</x:v>
      </x:c>
      <x:c r="D57" s="6" t="str">
        <x:v>Field load return</x:v>
      </x:c>
      <x:c r="E57" s="6" t="str">
        <x:v>C018</x:v>
      </x:c>
      <x:c r="F57" s="6" t="str">
        <x:v>4</x:v>
      </x:c>
      <x:c r="G57" s="6" t="str">
        <x:v>-YV101</x:v>
      </x:c>
      <x:c r="H57" s="6" t="str">
        <x:v>=FC01+FLD-YV101</x:v>
      </x:c>
      <x:c r="I57" s="6" t="str">
        <x:v>4</x:v>
      </x:c>
      <x:c r="J57" s="6" t="str">
        <x:v>-A103</x:v>
      </x:c>
      <x:c r="K57" s="6" t="str">
        <x:v>=FC01+CP01-A103</x:v>
      </x:c>
      <x:c r="L57" s="6" t="str">
        <x:v>7</x:v>
      </x:c>
      <x:c r="M57" s="6" t="str">
        <x:v>Q0.7</x:v>
      </x:c>
      <x:c r="N57" s="6" t="str">
        <x:v>0V</x:v>
      </x:c>
      <x:c r="O57" s="6" t="str">
        <x:v>W0076</x:v>
      </x:c>
      <x:c r="P57" s="6" t="str">
        <x:v>X0:0V</x:v>
      </x:c>
      <x:c r="Q57" s="6" t="str">
        <x:v>Controlled Rev-D topology; conductor size/terminal family and native QET continuity verification remain open</x:v>
      </x:c>
    </x:row>
    <x:row r="58" ht="27" customHeight="1">
      <x:c r="A58" s="6" t="str">
        <x:v>X102:9</x:v>
      </x:c>
      <x:c r="B58" s="6" t="str">
        <x:v>=FC01+CP01-X102</x:v>
      </x:c>
      <x:c r="C58" s="6" t="str">
        <x:v>CAPPER_REQUEST</x:v>
      </x:c>
      <x:c r="D58" s="6" t="str">
        <x:v>Relay contact 14 to field load</x:v>
      </x:c>
      <x:c r="E58" s="6" t="str">
        <x:v>C012</x:v>
      </x:c>
      <x:c r="F58" s="6" t="str">
        <x:v>7</x:v>
      </x:c>
      <x:c r="G58" s="6" t="str">
        <x:v>-IF140</x:v>
      </x:c>
      <x:c r="H58" s="6" t="str">
        <x:v>=FC01+FLD-IF140</x:v>
      </x:c>
      <x:c r="I58" s="6" t="str">
        <x:v>8</x:v>
      </x:c>
      <x:c r="J58" s="6" t="str">
        <x:v>-A103</x:v>
      </x:c>
      <x:c r="K58" s="6" t="str">
        <x:v>=FC01+CP01-A103</x:v>
      </x:c>
      <x:c r="L58" s="6" t="str">
        <x:v>8</x:v>
      </x:c>
      <x:c r="M58" s="6" t="str">
        <x:v>Q1.0</x:v>
      </x:c>
      <x:c r="N58" s="6" t="str">
        <x:v>+24VDC switched</x:v>
      </x:c>
      <x:c r="O58" s="6" t="str">
        <x:v>W0080</x:v>
      </x:c>
      <x:c r="P58" s="6" t="str"/>
      <x:c r="Q58" s="6" t="str">
        <x:v>Controlled Rev-D topology; conductor size/terminal family and native QET continuity verification remain open</x:v>
      </x:c>
    </x:row>
    <x:row r="59" ht="27" customHeight="1">
      <x:c r="A59" s="6" t="str">
        <x:v>X102:10</x:v>
      </x:c>
      <x:c r="B59" s="6" t="str">
        <x:v>=FC01+CP01-X102</x:v>
      </x:c>
      <x:c r="C59" s="6" t="str">
        <x:v>CAPPER_REQUEST</x:v>
      </x:c>
      <x:c r="D59" s="6" t="str">
        <x:v>Field load return</x:v>
      </x:c>
      <x:c r="E59" s="6" t="str">
        <x:v>C012</x:v>
      </x:c>
      <x:c r="F59" s="6" t="str">
        <x:v>8</x:v>
      </x:c>
      <x:c r="G59" s="6" t="str">
        <x:v>-IF140</x:v>
      </x:c>
      <x:c r="H59" s="6" t="str">
        <x:v>=FC01+FLD-IF140</x:v>
      </x:c>
      <x:c r="I59" s="6" t="str">
        <x:v>9</x:v>
      </x:c>
      <x:c r="J59" s="6" t="str">
        <x:v>-A103</x:v>
      </x:c>
      <x:c r="K59" s="6" t="str">
        <x:v>=FC01+CP01-A103</x:v>
      </x:c>
      <x:c r="L59" s="6" t="str">
        <x:v>8</x:v>
      </x:c>
      <x:c r="M59" s="6" t="str">
        <x:v>Q1.0</x:v>
      </x:c>
      <x:c r="N59" s="6" t="str">
        <x:v>0V</x:v>
      </x:c>
      <x:c r="O59" s="6" t="str">
        <x:v>W0081</x:v>
      </x:c>
      <x:c r="P59" s="6" t="str">
        <x:v>X0:0V</x:v>
      </x:c>
      <x:c r="Q59" s="6" t="str">
        <x:v>Controlled Rev-D topology; conductor size/terminal family and native QET continuity verification remain open</x:v>
      </x:c>
    </x:row>
    <x:row r="60" ht="27" customHeight="1">
      <x:c r="A60" s="6" t="str">
        <x:v>X102:11</x:v>
      </x:c>
      <x:c r="B60" s="6" t="str">
        <x:v>=FC01+CP01-X102</x:v>
      </x:c>
      <x:c r="C60" s="6" t="str">
        <x:v>STACK_GREEN</x:v>
      </x:c>
      <x:c r="D60" s="6" t="str">
        <x:v>Relay contact 14 to field load</x:v>
      </x:c>
      <x:c r="E60" s="6" t="str">
        <x:v>C019</x:v>
      </x:c>
      <x:c r="F60" s="6" t="str">
        <x:v>1</x:v>
      </x:c>
      <x:c r="G60" s="6" t="str">
        <x:v>-H101</x:v>
      </x:c>
      <x:c r="H60" s="6" t="str">
        <x:v>=FC01+FLD-H101</x:v>
      </x:c>
      <x:c r="I60" s="6" t="str">
        <x:v>G</x:v>
      </x:c>
      <x:c r="J60" s="6" t="str">
        <x:v>-A103</x:v>
      </x:c>
      <x:c r="K60" s="6" t="str">
        <x:v>=FC01+CP01-A103</x:v>
      </x:c>
      <x:c r="L60" s="6" t="str">
        <x:v>9</x:v>
      </x:c>
      <x:c r="M60" s="6" t="str">
        <x:v>Q1.1</x:v>
      </x:c>
      <x:c r="N60" s="6" t="str">
        <x:v>+24VDC switched</x:v>
      </x:c>
      <x:c r="O60" s="6" t="str">
        <x:v>W0085</x:v>
      </x:c>
      <x:c r="P60" s="6" t="str"/>
      <x:c r="Q60" s="6" t="str">
        <x:v>Controlled Rev-D topology; conductor size/terminal family and native QET continuity verification remain open</x:v>
      </x:c>
    </x:row>
    <x:row r="61" ht="27" customHeight="1">
      <x:c r="A61" s="6" t="str">
        <x:v>X102:12</x:v>
      </x:c>
      <x:c r="B61" s="6" t="str">
        <x:v>=FC01+CP01-X102</x:v>
      </x:c>
      <x:c r="C61" s="6" t="str">
        <x:v>STACK_GREEN</x:v>
      </x:c>
      <x:c r="D61" s="6" t="str">
        <x:v>Field load return</x:v>
      </x:c>
      <x:c r="E61" s="6" t="str">
        <x:v>C019</x:v>
      </x:c>
      <x:c r="F61" s="6" t="str">
        <x:v>2</x:v>
      </x:c>
      <x:c r="G61" s="6" t="str">
        <x:v>-H101</x:v>
      </x:c>
      <x:c r="H61" s="6" t="str">
        <x:v>=FC01+FLD-H101</x:v>
      </x:c>
      <x:c r="I61" s="6" t="str">
        <x:v>COM-G</x:v>
      </x:c>
      <x:c r="J61" s="6" t="str">
        <x:v>-A103</x:v>
      </x:c>
      <x:c r="K61" s="6" t="str">
        <x:v>=FC01+CP01-A103</x:v>
      </x:c>
      <x:c r="L61" s="6" t="str">
        <x:v>9</x:v>
      </x:c>
      <x:c r="M61" s="6" t="str">
        <x:v>Q1.1</x:v>
      </x:c>
      <x:c r="N61" s="6" t="str">
        <x:v>0V</x:v>
      </x:c>
      <x:c r="O61" s="6" t="str">
        <x:v>W0086</x:v>
      </x:c>
      <x:c r="P61" s="6" t="str">
        <x:v>X0:0V</x:v>
      </x:c>
      <x:c r="Q61" s="6" t="str">
        <x:v>Controlled Rev-D topology; conductor size/terminal family and native QET continuity verification remain open</x:v>
      </x:c>
    </x:row>
    <x:row r="62" ht="27" customHeight="1">
      <x:c r="A62" s="6" t="str">
        <x:v>X102:13</x:v>
      </x:c>
      <x:c r="B62" s="6" t="str">
        <x:v>=FC01+CP01-X102</x:v>
      </x:c>
      <x:c r="C62" s="6" t="str">
        <x:v>STACK_AMBER</x:v>
      </x:c>
      <x:c r="D62" s="6" t="str">
        <x:v>Relay contact 14 to field load</x:v>
      </x:c>
      <x:c r="E62" s="6" t="str">
        <x:v>C019</x:v>
      </x:c>
      <x:c r="F62" s="6" t="str">
        <x:v>3</x:v>
      </x:c>
      <x:c r="G62" s="6" t="str">
        <x:v>-H101</x:v>
      </x:c>
      <x:c r="H62" s="6" t="str">
        <x:v>=FC01+FLD-H101</x:v>
      </x:c>
      <x:c r="I62" s="6" t="str">
        <x:v>A</x:v>
      </x:c>
      <x:c r="J62" s="6" t="str">
        <x:v>-A103</x:v>
      </x:c>
      <x:c r="K62" s="6" t="str">
        <x:v>=FC01+CP01-A103</x:v>
      </x:c>
      <x:c r="L62" s="6" t="str">
        <x:v>10</x:v>
      </x:c>
      <x:c r="M62" s="6" t="str">
        <x:v>Q1.2</x:v>
      </x:c>
      <x:c r="N62" s="6" t="str">
        <x:v>+24VDC switched</x:v>
      </x:c>
      <x:c r="O62" s="6" t="str">
        <x:v>W0090</x:v>
      </x:c>
      <x:c r="P62" s="6" t="str"/>
      <x:c r="Q62" s="6" t="str">
        <x:v>Controlled Rev-D topology; conductor size/terminal family and native QET continuity verification remain open</x:v>
      </x:c>
    </x:row>
    <x:row r="63" ht="27" customHeight="1">
      <x:c r="A63" s="6" t="str">
        <x:v>X102:14</x:v>
      </x:c>
      <x:c r="B63" s="6" t="str">
        <x:v>=FC01+CP01-X102</x:v>
      </x:c>
      <x:c r="C63" s="6" t="str">
        <x:v>STACK_AMBER</x:v>
      </x:c>
      <x:c r="D63" s="6" t="str">
        <x:v>Field load return</x:v>
      </x:c>
      <x:c r="E63" s="6" t="str">
        <x:v>C019</x:v>
      </x:c>
      <x:c r="F63" s="6" t="str">
        <x:v>4</x:v>
      </x:c>
      <x:c r="G63" s="6" t="str">
        <x:v>-H101</x:v>
      </x:c>
      <x:c r="H63" s="6" t="str">
        <x:v>=FC01+FLD-H101</x:v>
      </x:c>
      <x:c r="I63" s="6" t="str">
        <x:v>COM-A</x:v>
      </x:c>
      <x:c r="J63" s="6" t="str">
        <x:v>-A103</x:v>
      </x:c>
      <x:c r="K63" s="6" t="str">
        <x:v>=FC01+CP01-A103</x:v>
      </x:c>
      <x:c r="L63" s="6" t="str">
        <x:v>10</x:v>
      </x:c>
      <x:c r="M63" s="6" t="str">
        <x:v>Q1.2</x:v>
      </x:c>
      <x:c r="N63" s="6" t="str">
        <x:v>0V</x:v>
      </x:c>
      <x:c r="O63" s="6" t="str">
        <x:v>W0091</x:v>
      </x:c>
      <x:c r="P63" s="6" t="str">
        <x:v>X0:0V</x:v>
      </x:c>
      <x:c r="Q63" s="6" t="str">
        <x:v>Controlled Rev-D topology; conductor size/terminal family and native QET continuity verification remain open</x:v>
      </x:c>
    </x:row>
    <x:row r="64" ht="27" customHeight="1">
      <x:c r="A64" s="6" t="str">
        <x:v>X102:15</x:v>
      </x:c>
      <x:c r="B64" s="6" t="str">
        <x:v>=FC01+CP01-X102</x:v>
      </x:c>
      <x:c r="C64" s="6" t="str">
        <x:v>STACK_RED</x:v>
      </x:c>
      <x:c r="D64" s="6" t="str">
        <x:v>Relay contact 14 to field load</x:v>
      </x:c>
      <x:c r="E64" s="6" t="str">
        <x:v>C019</x:v>
      </x:c>
      <x:c r="F64" s="6" t="str">
        <x:v>5</x:v>
      </x:c>
      <x:c r="G64" s="6" t="str">
        <x:v>-H101</x:v>
      </x:c>
      <x:c r="H64" s="6" t="str">
        <x:v>=FC01+FLD-H101</x:v>
      </x:c>
      <x:c r="I64" s="6" t="str">
        <x:v>R</x:v>
      </x:c>
      <x:c r="J64" s="6" t="str">
        <x:v>-A103</x:v>
      </x:c>
      <x:c r="K64" s="6" t="str">
        <x:v>=FC01+CP01-A103</x:v>
      </x:c>
      <x:c r="L64" s="6" t="str">
        <x:v>11</x:v>
      </x:c>
      <x:c r="M64" s="6" t="str">
        <x:v>Q1.3</x:v>
      </x:c>
      <x:c r="N64" s="6" t="str">
        <x:v>+24VDC switched</x:v>
      </x:c>
      <x:c r="O64" s="6" t="str">
        <x:v>W0095</x:v>
      </x:c>
      <x:c r="P64" s="6" t="str"/>
      <x:c r="Q64" s="6" t="str">
        <x:v>Controlled Rev-D topology; conductor size/terminal family and native QET continuity verification remain open</x:v>
      </x:c>
    </x:row>
    <x:row r="65" ht="27" customHeight="1">
      <x:c r="A65" s="6" t="str">
        <x:v>X102:16</x:v>
      </x:c>
      <x:c r="B65" s="6" t="str">
        <x:v>=FC01+CP01-X102</x:v>
      </x:c>
      <x:c r="C65" s="6" t="str">
        <x:v>STACK_RED</x:v>
      </x:c>
      <x:c r="D65" s="6" t="str">
        <x:v>Field load return</x:v>
      </x:c>
      <x:c r="E65" s="6" t="str">
        <x:v>C019</x:v>
      </x:c>
      <x:c r="F65" s="6" t="str">
        <x:v>6</x:v>
      </x:c>
      <x:c r="G65" s="6" t="str">
        <x:v>-H101</x:v>
      </x:c>
      <x:c r="H65" s="6" t="str">
        <x:v>=FC01+FLD-H101</x:v>
      </x:c>
      <x:c r="I65" s="6" t="str">
        <x:v>COM-R</x:v>
      </x:c>
      <x:c r="J65" s="6" t="str">
        <x:v>-A103</x:v>
      </x:c>
      <x:c r="K65" s="6" t="str">
        <x:v>=FC01+CP01-A103</x:v>
      </x:c>
      <x:c r="L65" s="6" t="str">
        <x:v>11</x:v>
      </x:c>
      <x:c r="M65" s="6" t="str">
        <x:v>Q1.3</x:v>
      </x:c>
      <x:c r="N65" s="6" t="str">
        <x:v>0V</x:v>
      </x:c>
      <x:c r="O65" s="6" t="str">
        <x:v>W0096</x:v>
      </x:c>
      <x:c r="P65" s="6" t="str">
        <x:v>X0:0V</x:v>
      </x:c>
      <x:c r="Q65" s="6" t="str">
        <x:v>Controlled Rev-D topology; conductor size/terminal family and native QET continuity verification remain open</x:v>
      </x:c>
    </x:row>
    <x:row r="66" ht="27" customHeight="1">
      <x:c r="A66" s="6" t="str">
        <x:v>X102:17</x:v>
      </x:c>
      <x:c r="B66" s="6" t="str">
        <x:v>=FC01+CP01-X102</x:v>
      </x:c>
      <x:c r="C66" s="6" t="str">
        <x:v>AUDIBLE_ALARM</x:v>
      </x:c>
      <x:c r="D66" s="6" t="str">
        <x:v>Relay contact 14 to field load</x:v>
      </x:c>
      <x:c r="E66" s="6" t="str">
        <x:v>C019</x:v>
      </x:c>
      <x:c r="F66" s="6" t="str">
        <x:v>7</x:v>
      </x:c>
      <x:c r="G66" s="6" t="str">
        <x:v>-H101</x:v>
      </x:c>
      <x:c r="H66" s="6" t="str">
        <x:v>=FC01+FLD-H101</x:v>
      </x:c>
      <x:c r="I66" s="6" t="str">
        <x:v>S</x:v>
      </x:c>
      <x:c r="J66" s="6" t="str">
        <x:v>-A103</x:v>
      </x:c>
      <x:c r="K66" s="6" t="str">
        <x:v>=FC01+CP01-A103</x:v>
      </x:c>
      <x:c r="L66" s="6" t="str">
        <x:v>12</x:v>
      </x:c>
      <x:c r="M66" s="6" t="str">
        <x:v>Q1.4</x:v>
      </x:c>
      <x:c r="N66" s="6" t="str">
        <x:v>+24VDC switched</x:v>
      </x:c>
      <x:c r="O66" s="6" t="str">
        <x:v>W0100</x:v>
      </x:c>
      <x:c r="P66" s="6" t="str"/>
      <x:c r="Q66" s="6" t="str">
        <x:v>Controlled Rev-D topology; conductor size/terminal family and native QET continuity verification remain open</x:v>
      </x:c>
    </x:row>
    <x:row r="67" ht="27" customHeight="1">
      <x:c r="A67" s="6" t="str">
        <x:v>X102:18</x:v>
      </x:c>
      <x:c r="B67" s="6" t="str">
        <x:v>=FC01+CP01-X102</x:v>
      </x:c>
      <x:c r="C67" s="6" t="str">
        <x:v>AUDIBLE_ALARM</x:v>
      </x:c>
      <x:c r="D67" s="6" t="str">
        <x:v>Field load return</x:v>
      </x:c>
      <x:c r="E67" s="6" t="str">
        <x:v>C019</x:v>
      </x:c>
      <x:c r="F67" s="6" t="str">
        <x:v>8</x:v>
      </x:c>
      <x:c r="G67" s="6" t="str">
        <x:v>-H101</x:v>
      </x:c>
      <x:c r="H67" s="6" t="str">
        <x:v>=FC01+FLD-H101</x:v>
      </x:c>
      <x:c r="I67" s="6" t="str">
        <x:v>COM-S</x:v>
      </x:c>
      <x:c r="J67" s="6" t="str">
        <x:v>-A103</x:v>
      </x:c>
      <x:c r="K67" s="6" t="str">
        <x:v>=FC01+CP01-A103</x:v>
      </x:c>
      <x:c r="L67" s="6" t="str">
        <x:v>12</x:v>
      </x:c>
      <x:c r="M67" s="6" t="str">
        <x:v>Q1.4</x:v>
      </x:c>
      <x:c r="N67" s="6" t="str">
        <x:v>0V</x:v>
      </x:c>
      <x:c r="O67" s="6" t="str">
        <x:v>W0101</x:v>
      </x:c>
      <x:c r="P67" s="6" t="str">
        <x:v>X0:0V</x:v>
      </x:c>
      <x:c r="Q67" s="6" t="str">
        <x:v>Controlled Rev-D topology; conductor size/terminal family and native QET continuity verification remain open</x:v>
      </x:c>
    </x:row>
    <x:row r="68" ht="27" customHeight="1">
      <x:c r="A68" s="6" t="str">
        <x:v>X102:19</x:v>
      </x:c>
      <x:c r="B68" s="6" t="str">
        <x:v>=FC01+CP01-X102</x:v>
      </x:c>
      <x:c r="C68" s="6" t="str">
        <x:v>CAMERA_LIGHT_ENABLE</x:v>
      </x:c>
      <x:c r="D68" s="6" t="str">
        <x:v>Relay contact 14 to field load</x:v>
      </x:c>
      <x:c r="E68" s="6" t="str">
        <x:v>C020</x:v>
      </x:c>
      <x:c r="F68" s="6" t="str">
        <x:v>1</x:v>
      </x:c>
      <x:c r="G68" s="6" t="str">
        <x:v>-LT200</x:v>
      </x:c>
      <x:c r="H68" s="6" t="str">
        <x:v>=FC01+FLD-LT200</x:v>
      </x:c>
      <x:c r="I68" s="6" t="str">
        <x:v>1</x:v>
      </x:c>
      <x:c r="J68" s="6" t="str">
        <x:v>-A103</x:v>
      </x:c>
      <x:c r="K68" s="6" t="str">
        <x:v>=FC01+CP01-A103</x:v>
      </x:c>
      <x:c r="L68" s="6" t="str">
        <x:v>13</x:v>
      </x:c>
      <x:c r="M68" s="6" t="str">
        <x:v>Q1.5</x:v>
      </x:c>
      <x:c r="N68" s="6" t="str">
        <x:v>+24VDC switched</x:v>
      </x:c>
      <x:c r="O68" s="6" t="str">
        <x:v>W0105</x:v>
      </x:c>
      <x:c r="P68" s="6" t="str"/>
      <x:c r="Q68" s="6" t="str">
        <x:v>Controlled Rev-D topology; conductor size/terminal family and native QET continuity verification remain open</x:v>
      </x:c>
    </x:row>
    <x:row r="69" ht="27" customHeight="1">
      <x:c r="A69" s="6" t="str">
        <x:v>X102:20</x:v>
      </x:c>
      <x:c r="B69" s="6" t="str">
        <x:v>=FC01+CP01-X102</x:v>
      </x:c>
      <x:c r="C69" s="6" t="str">
        <x:v>CAMERA_LIGHT_ENABLE</x:v>
      </x:c>
      <x:c r="D69" s="6" t="str">
        <x:v>Field load return</x:v>
      </x:c>
      <x:c r="E69" s="6" t="str">
        <x:v>C020</x:v>
      </x:c>
      <x:c r="F69" s="6" t="str">
        <x:v>2</x:v>
      </x:c>
      <x:c r="G69" s="6" t="str">
        <x:v>-LT200</x:v>
      </x:c>
      <x:c r="H69" s="6" t="str">
        <x:v>=FC01+FLD-LT200</x:v>
      </x:c>
      <x:c r="I69" s="6" t="str">
        <x:v>2</x:v>
      </x:c>
      <x:c r="J69" s="6" t="str">
        <x:v>-A103</x:v>
      </x:c>
      <x:c r="K69" s="6" t="str">
        <x:v>=FC01+CP01-A103</x:v>
      </x:c>
      <x:c r="L69" s="6" t="str">
        <x:v>13</x:v>
      </x:c>
      <x:c r="M69" s="6" t="str">
        <x:v>Q1.5</x:v>
      </x:c>
      <x:c r="N69" s="6" t="str">
        <x:v>0V</x:v>
      </x:c>
      <x:c r="O69" s="6" t="str">
        <x:v>W0106</x:v>
      </x:c>
      <x:c r="P69" s="6" t="str">
        <x:v>X0:0V</x:v>
      </x:c>
      <x:c r="Q69" s="6" t="str">
        <x:v>Controlled Rev-D topology; conductor size/terminal family and native QET continuity verification remain open</x:v>
      </x:c>
    </x:row>
    <x:row r="70" ht="27" customHeight="1">
      <x:c r="A70" s="6" t="str">
        <x:v>X102:21</x:v>
      </x:c>
      <x:c r="B70" s="6" t="str">
        <x:v>=FC01+CP01-X102</x:v>
      </x:c>
      <x:c r="C70" s="6" t="str">
        <x:v>FLOW_1_MA_RAW</x:v>
      </x:c>
      <x:c r="D70" s="6" t="str">
        <x:v>4-20 mA signal positive</x:v>
      </x:c>
      <x:c r="E70" s="6" t="str">
        <x:v>C021</x:v>
      </x:c>
      <x:c r="F70" s="6" t="str">
        <x:v>1</x:v>
      </x:c>
      <x:c r="G70" s="6" t="str">
        <x:v>-FT100</x:v>
      </x:c>
      <x:c r="H70" s="6" t="str">
        <x:v>=FC01+FLD-FT100</x:v>
      </x:c>
      <x:c r="I70" s="6" t="str">
        <x:v>SIG+</x:v>
      </x:c>
      <x:c r="J70" s="6" t="str">
        <x:v>-A104</x:v>
      </x:c>
      <x:c r="K70" s="6" t="str">
        <x:v>=FC01+CP01-A104</x:v>
      </x:c>
      <x:c r="L70" s="6" t="str">
        <x:v>0</x:v>
      </x:c>
      <x:c r="M70" s="6" t="str">
        <x:v>IW64</x:v>
      </x:c>
      <x:c r="N70" s="6" t="str">
        <x:v>4-20mA</x:v>
      </x:c>
      <x:c r="O70" s="6" t="str">
        <x:v>W0107</x:v>
      </x:c>
      <x:c r="P70" s="6" t="str"/>
      <x:c r="Q70" s="6" t="str">
        <x:v>Controlled Rev-D topology; conductor size/terminal family and native QET continuity verification remain open</x:v>
      </x:c>
    </x:row>
    <x:row r="71" ht="27" customHeight="1">
      <x:c r="A71" s="6" t="str">
        <x:v>X102:22</x:v>
      </x:c>
      <x:c r="B71" s="6" t="str">
        <x:v>=FC01+CP01-X102</x:v>
      </x:c>
      <x:c r="C71" s="6" t="str">
        <x:v>FLOW_1_MA_RAW</x:v>
      </x:c>
      <x:c r="D71" s="6" t="str">
        <x:v>Instrument supply</x:v>
      </x:c>
      <x:c r="E71" s="6" t="str">
        <x:v>C021</x:v>
      </x:c>
      <x:c r="F71" s="6" t="str">
        <x:v>2</x:v>
      </x:c>
      <x:c r="G71" s="6" t="str">
        <x:v>-FT100</x:v>
      </x:c>
      <x:c r="H71" s="6" t="str">
        <x:v>=FC01+FLD-FT100</x:v>
      </x:c>
      <x:c r="I71" s="6" t="str">
        <x:v>+</x:v>
      </x:c>
      <x:c r="J71" s="6" t="str">
        <x:v>-A104</x:v>
      </x:c>
      <x:c r="K71" s="6" t="str">
        <x:v>=FC01+CP01-A104</x:v>
      </x:c>
      <x:c r="L71" s="6" t="str">
        <x:v>0</x:v>
      </x:c>
      <x:c r="M71" s="6" t="str">
        <x:v>IW64</x:v>
      </x:c>
      <x:c r="N71" s="6" t="str">
        <x:v>+24VDC fused</x:v>
      </x:c>
      <x:c r="O71" s="6" t="str">
        <x:v>W0108</x:v>
      </x:c>
      <x:c r="P71" s="6" t="str"/>
      <x:c r="Q71" s="6" t="str">
        <x:v>Controlled Rev-D topology; conductor size/terminal family and native QET continuity verification remain open</x:v>
      </x:c>
    </x:row>
    <x:row r="72" ht="27" customHeight="1">
      <x:c r="A72" s="6" t="str">
        <x:v>X102:23</x:v>
      </x:c>
      <x:c r="B72" s="6" t="str">
        <x:v>=FC01+CP01-X102</x:v>
      </x:c>
      <x:c r="C72" s="6" t="str">
        <x:v>FLOW_1_MA_RAW</x:v>
      </x:c>
      <x:c r="D72" s="6" t="str">
        <x:v>Analog signal return</x:v>
      </x:c>
      <x:c r="E72" s="6" t="str">
        <x:v>C021</x:v>
      </x:c>
      <x:c r="F72" s="6" t="str">
        <x:v>3</x:v>
      </x:c>
      <x:c r="G72" s="6" t="str">
        <x:v>-FT100</x:v>
      </x:c>
      <x:c r="H72" s="6" t="str">
        <x:v>=FC01+FLD-FT100</x:v>
      </x:c>
      <x:c r="I72" s="6" t="str">
        <x:v>SIG-</x:v>
      </x:c>
      <x:c r="J72" s="6" t="str">
        <x:v>-A104</x:v>
      </x:c>
      <x:c r="K72" s="6" t="str">
        <x:v>=FC01+CP01-A104</x:v>
      </x:c>
      <x:c r="L72" s="6" t="str">
        <x:v>0</x:v>
      </x:c>
      <x:c r="M72" s="6" t="str">
        <x:v>IW64</x:v>
      </x:c>
      <x:c r="N72" s="6" t="str">
        <x:v>0V analog</x:v>
      </x:c>
      <x:c r="O72" s="6" t="str">
        <x:v>W0109</x:v>
      </x:c>
      <x:c r="P72" s="6" t="str">
        <x:v>X0:MANA</x:v>
      </x:c>
      <x:c r="Q72" s="6" t="str">
        <x:v>Controlled Rev-D topology; conductor size/terminal family and native QET continuity verification remain open</x:v>
      </x:c>
    </x:row>
    <x:row r="73" ht="27" customHeight="1">
      <x:c r="A73" s="6" t="str">
        <x:v>X102:24</x:v>
      </x:c>
      <x:c r="B73" s="6" t="str">
        <x:v>=FC01+CP01-X102</x:v>
      </x:c>
      <x:c r="C73" s="6" t="str">
        <x:v>FLOW_1_MA_RAW</x:v>
      </x:c>
      <x:c r="D73" s="6" t="str">
        <x:v>Cable shield</x:v>
      </x:c>
      <x:c r="E73" s="6" t="str">
        <x:v>C021</x:v>
      </x:c>
      <x:c r="F73" s="6" t="str">
        <x:v>SH</x:v>
      </x:c>
      <x:c r="G73" s="6" t="str">
        <x:v>-FT100</x:v>
      </x:c>
      <x:c r="H73" s="6" t="str">
        <x:v>=FC01+FLD-FT100</x:v>
      </x:c>
      <x:c r="I73" s="6" t="str">
        <x:v>SH</x:v>
      </x:c>
      <x:c r="J73" s="6" t="str">
        <x:v>-A104</x:v>
      </x:c>
      <x:c r="K73" s="6" t="str">
        <x:v>=FC01+CP01-A104</x:v>
      </x:c>
      <x:c r="L73" s="6" t="str">
        <x:v>0</x:v>
      </x:c>
      <x:c r="M73" s="6" t="str">
        <x:v>IW64</x:v>
      </x:c>
      <x:c r="N73" s="6" t="str">
        <x:v>FE</x:v>
      </x:c>
      <x:c r="O73" s="6" t="str">
        <x:v>W0110</x:v>
      </x:c>
      <x:c r="P73" s="6" t="str">
        <x:v>SC100 panel-end only</x:v>
      </x:c>
      <x:c r="Q73" s="6" t="str">
        <x:v>Controlled Rev-D topology; conductor size/terminal family and native QET continuity verification remain open</x:v>
      </x:c>
    </x:row>
    <x:row r="74" ht="27" customHeight="1">
      <x:c r="A74" s="6" t="str">
        <x:v>X103:1</x:v>
      </x:c>
      <x:c r="B74" s="6" t="str">
        <x:v>=FC01+CP01-X103</x:v>
      </x:c>
      <x:c r="C74" s="6" t="str">
        <x:v>FLOW_2_MA_RAW</x:v>
      </x:c>
      <x:c r="D74" s="6" t="str">
        <x:v>4-20 mA signal positive</x:v>
      </x:c>
      <x:c r="E74" s="6" t="str">
        <x:v>C022</x:v>
      </x:c>
      <x:c r="F74" s="6" t="str">
        <x:v>1</x:v>
      </x:c>
      <x:c r="G74" s="6" t="str">
        <x:v>-FT101</x:v>
      </x:c>
      <x:c r="H74" s="6" t="str">
        <x:v>=FC01+FLD-FT101</x:v>
      </x:c>
      <x:c r="I74" s="6" t="str">
        <x:v>SIG+</x:v>
      </x:c>
      <x:c r="J74" s="6" t="str">
        <x:v>-A104</x:v>
      </x:c>
      <x:c r="K74" s="6" t="str">
        <x:v>=FC01+CP01-A104</x:v>
      </x:c>
      <x:c r="L74" s="6" t="str">
        <x:v>1</x:v>
      </x:c>
      <x:c r="M74" s="6" t="str">
        <x:v>IW66</x:v>
      </x:c>
      <x:c r="N74" s="6" t="str">
        <x:v>4-20mA</x:v>
      </x:c>
      <x:c r="O74" s="6" t="str">
        <x:v>W0111</x:v>
      </x:c>
      <x:c r="P74" s="6" t="str"/>
      <x:c r="Q74" s="6" t="str">
        <x:v>Controlled Rev-D topology; conductor size/terminal family and native QET continuity verification remain open</x:v>
      </x:c>
    </x:row>
    <x:row r="75" ht="27" customHeight="1">
      <x:c r="A75" s="6" t="str">
        <x:v>X103:2</x:v>
      </x:c>
      <x:c r="B75" s="6" t="str">
        <x:v>=FC01+CP01-X103</x:v>
      </x:c>
      <x:c r="C75" s="6" t="str">
        <x:v>FLOW_2_MA_RAW</x:v>
      </x:c>
      <x:c r="D75" s="6" t="str">
        <x:v>Instrument supply</x:v>
      </x:c>
      <x:c r="E75" s="6" t="str">
        <x:v>C022</x:v>
      </x:c>
      <x:c r="F75" s="6" t="str">
        <x:v>2</x:v>
      </x:c>
      <x:c r="G75" s="6" t="str">
        <x:v>-FT101</x:v>
      </x:c>
      <x:c r="H75" s="6" t="str">
        <x:v>=FC01+FLD-FT101</x:v>
      </x:c>
      <x:c r="I75" s="6" t="str">
        <x:v>+</x:v>
      </x:c>
      <x:c r="J75" s="6" t="str">
        <x:v>-A104</x:v>
      </x:c>
      <x:c r="K75" s="6" t="str">
        <x:v>=FC01+CP01-A104</x:v>
      </x:c>
      <x:c r="L75" s="6" t="str">
        <x:v>1</x:v>
      </x:c>
      <x:c r="M75" s="6" t="str">
        <x:v>IW66</x:v>
      </x:c>
      <x:c r="N75" s="6" t="str">
        <x:v>+24VDC fused</x:v>
      </x:c>
      <x:c r="O75" s="6" t="str">
        <x:v>W0112</x:v>
      </x:c>
      <x:c r="P75" s="6" t="str"/>
      <x:c r="Q75" s="6" t="str">
        <x:v>Controlled Rev-D topology; conductor size/terminal family and native QET continuity verification remain open</x:v>
      </x:c>
    </x:row>
    <x:row r="76" ht="27" customHeight="1">
      <x:c r="A76" s="6" t="str">
        <x:v>X103:3</x:v>
      </x:c>
      <x:c r="B76" s="6" t="str">
        <x:v>=FC01+CP01-X103</x:v>
      </x:c>
      <x:c r="C76" s="6" t="str">
        <x:v>FLOW_2_MA_RAW</x:v>
      </x:c>
      <x:c r="D76" s="6" t="str">
        <x:v>Analog signal return</x:v>
      </x:c>
      <x:c r="E76" s="6" t="str">
        <x:v>C022</x:v>
      </x:c>
      <x:c r="F76" s="6" t="str">
        <x:v>3</x:v>
      </x:c>
      <x:c r="G76" s="6" t="str">
        <x:v>-FT101</x:v>
      </x:c>
      <x:c r="H76" s="6" t="str">
        <x:v>=FC01+FLD-FT101</x:v>
      </x:c>
      <x:c r="I76" s="6" t="str">
        <x:v>SIG-</x:v>
      </x:c>
      <x:c r="J76" s="6" t="str">
        <x:v>-A104</x:v>
      </x:c>
      <x:c r="K76" s="6" t="str">
        <x:v>=FC01+CP01-A104</x:v>
      </x:c>
      <x:c r="L76" s="6" t="str">
        <x:v>1</x:v>
      </x:c>
      <x:c r="M76" s="6" t="str">
        <x:v>IW66</x:v>
      </x:c>
      <x:c r="N76" s="6" t="str">
        <x:v>0V analog</x:v>
      </x:c>
      <x:c r="O76" s="6" t="str">
        <x:v>W0113</x:v>
      </x:c>
      <x:c r="P76" s="6" t="str">
        <x:v>X0:MANA</x:v>
      </x:c>
      <x:c r="Q76" s="6" t="str">
        <x:v>Controlled Rev-D topology; conductor size/terminal family and native QET continuity verification remain open</x:v>
      </x:c>
    </x:row>
    <x:row r="77" ht="27" customHeight="1">
      <x:c r="A77" s="6" t="str">
        <x:v>X103:4</x:v>
      </x:c>
      <x:c r="B77" s="6" t="str">
        <x:v>=FC01+CP01-X103</x:v>
      </x:c>
      <x:c r="C77" s="6" t="str">
        <x:v>FLOW_2_MA_RAW</x:v>
      </x:c>
      <x:c r="D77" s="6" t="str">
        <x:v>Cable shield</x:v>
      </x:c>
      <x:c r="E77" s="6" t="str">
        <x:v>C022</x:v>
      </x:c>
      <x:c r="F77" s="6" t="str">
        <x:v>SH</x:v>
      </x:c>
      <x:c r="G77" s="6" t="str">
        <x:v>-FT101</x:v>
      </x:c>
      <x:c r="H77" s="6" t="str">
        <x:v>=FC01+FLD-FT101</x:v>
      </x:c>
      <x:c r="I77" s="6" t="str">
        <x:v>SH</x:v>
      </x:c>
      <x:c r="J77" s="6" t="str">
        <x:v>-A104</x:v>
      </x:c>
      <x:c r="K77" s="6" t="str">
        <x:v>=FC01+CP01-A104</x:v>
      </x:c>
      <x:c r="L77" s="6" t="str">
        <x:v>1</x:v>
      </x:c>
      <x:c r="M77" s="6" t="str">
        <x:v>IW66</x:v>
      </x:c>
      <x:c r="N77" s="6" t="str">
        <x:v>FE</x:v>
      </x:c>
      <x:c r="O77" s="6" t="str">
        <x:v>W0114</x:v>
      </x:c>
      <x:c r="P77" s="6" t="str">
        <x:v>SC100 panel-end only</x:v>
      </x:c>
      <x:c r="Q77" s="6" t="str">
        <x:v>Controlled Rev-D topology; conductor size/terminal family and native QET continuity verification remain open</x:v>
      </x:c>
    </x:row>
    <x:row r="78" ht="27" customHeight="1">
      <x:c r="A78" s="6" t="str">
        <x:v>X103:5</x:v>
      </x:c>
      <x:c r="B78" s="6" t="str">
        <x:v>=FC01+CP01-X103</x:v>
      </x:c>
      <x:c r="C78" s="6" t="str">
        <x:v>FLOW_1_PULSE</x:v>
      </x:c>
      <x:c r="D78" s="6" t="str">
        <x:v>Counter pulse</x:v>
      </x:c>
      <x:c r="E78" s="6" t="str">
        <x:v>C021</x:v>
      </x:c>
      <x:c r="F78" s="6" t="str">
        <x:v>4</x:v>
      </x:c>
      <x:c r="G78" s="6" t="str">
        <x:v>-FT100</x:v>
      </x:c>
      <x:c r="H78" s="6" t="str">
        <x:v>=FC01+FLD-FT100</x:v>
      </x:c>
      <x:c r="I78" s="6" t="str">
        <x:v>PULSE</x:v>
      </x:c>
      <x:c r="J78" s="6" t="str">
        <x:v>-A101</x:v>
      </x:c>
      <x:c r="K78" s="6" t="str">
        <x:v>=FC01+CP01-A101</x:v>
      </x:c>
      <x:c r="L78" s="6" t="str">
        <x:v>CH0 A</x:v>
      </x:c>
      <x:c r="M78" s="6" t="str">
        <x:v>TM1.CH0.A</x:v>
      </x:c>
      <x:c r="N78" s="6" t="str">
        <x:v>24 V pulse</x:v>
      </x:c>
      <x:c r="O78" s="6" t="str">
        <x:v>W0115</x:v>
      </x:c>
      <x:c r="P78" s="6" t="str"/>
      <x:c r="Q78" s="6" t="str">
        <x:v>Controlled Rev-D topology; conductor size/terminal family and native QET continuity verification remain open</x:v>
      </x:c>
    </x:row>
    <x:row r="79" ht="27" customHeight="1">
      <x:c r="A79" s="6" t="str">
        <x:v>X103:6</x:v>
      </x:c>
      <x:c r="B79" s="6" t="str">
        <x:v>=FC01+CP01-X103</x:v>
      </x:c>
      <x:c r="C79" s="6" t="str">
        <x:v>FLOW_1_PULSE</x:v>
      </x:c>
      <x:c r="D79" s="6" t="str">
        <x:v>Counter reference</x:v>
      </x:c>
      <x:c r="E79" s="6" t="str">
        <x:v>C021</x:v>
      </x:c>
      <x:c r="F79" s="6" t="str">
        <x:v>5</x:v>
      </x:c>
      <x:c r="G79" s="6" t="str">
        <x:v>-FT100</x:v>
      </x:c>
      <x:c r="H79" s="6" t="str">
        <x:v>=FC01+FLD-FT100</x:v>
      </x:c>
      <x:c r="I79" s="6" t="str">
        <x:v>0V</x:v>
      </x:c>
      <x:c r="J79" s="6" t="str">
        <x:v>-A101</x:v>
      </x:c>
      <x:c r="K79" s="6" t="str">
        <x:v>=FC01+CP01-A101</x:v>
      </x:c>
      <x:c r="L79" s="6" t="str">
        <x:v>CH0 A</x:v>
      </x:c>
      <x:c r="M79" s="6" t="str">
        <x:v>TM1.CH0.A</x:v>
      </x:c>
      <x:c r="N79" s="6" t="str">
        <x:v>0V</x:v>
      </x:c>
      <x:c r="O79" s="6" t="str">
        <x:v>W0116</x:v>
      </x:c>
      <x:c r="P79" s="6" t="str">
        <x:v>X0:0V</x:v>
      </x:c>
      <x:c r="Q79" s="6" t="str">
        <x:v>Controlled Rev-D topology; conductor size/terminal family and native QET continuity verification remain open</x:v>
      </x:c>
    </x:row>
    <x:row r="80" ht="27" customHeight="1">
      <x:c r="A80" s="6" t="str">
        <x:v>X103:7</x:v>
      </x:c>
      <x:c r="B80" s="6" t="str">
        <x:v>=FC01+CP01-X103</x:v>
      </x:c>
      <x:c r="C80" s="6" t="str">
        <x:v>FLOW_2_PULSE</x:v>
      </x:c>
      <x:c r="D80" s="6" t="str">
        <x:v>Counter pulse</x:v>
      </x:c>
      <x:c r="E80" s="6" t="str">
        <x:v>C022</x:v>
      </x:c>
      <x:c r="F80" s="6" t="str">
        <x:v>4</x:v>
      </x:c>
      <x:c r="G80" s="6" t="str">
        <x:v>-FT101</x:v>
      </x:c>
      <x:c r="H80" s="6" t="str">
        <x:v>=FC01+FLD-FT101</x:v>
      </x:c>
      <x:c r="I80" s="6" t="str">
        <x:v>PULSE</x:v>
      </x:c>
      <x:c r="J80" s="6" t="str">
        <x:v>-A101</x:v>
      </x:c>
      <x:c r="K80" s="6" t="str">
        <x:v>=FC01+CP01-A101</x:v>
      </x:c>
      <x:c r="L80" s="6" t="str">
        <x:v>CH1 A</x:v>
      </x:c>
      <x:c r="M80" s="6" t="str">
        <x:v>TM1.CH1.A</x:v>
      </x:c>
      <x:c r="N80" s="6" t="str">
        <x:v>24 V pulse</x:v>
      </x:c>
      <x:c r="O80" s="6" t="str">
        <x:v>W0117</x:v>
      </x:c>
      <x:c r="P80" s="6" t="str"/>
      <x:c r="Q80" s="6" t="str">
        <x:v>Controlled Rev-D topology; conductor size/terminal family and native QET continuity verification remain open</x:v>
      </x:c>
    </x:row>
    <x:row r="81" ht="27" customHeight="1">
      <x:c r="A81" s="6" t="str">
        <x:v>X103:8</x:v>
      </x:c>
      <x:c r="B81" s="6" t="str">
        <x:v>=FC01+CP01-X103</x:v>
      </x:c>
      <x:c r="C81" s="6" t="str">
        <x:v>FLOW_2_PULSE</x:v>
      </x:c>
      <x:c r="D81" s="6" t="str">
        <x:v>Counter reference</x:v>
      </x:c>
      <x:c r="E81" s="6" t="str">
        <x:v>C022</x:v>
      </x:c>
      <x:c r="F81" s="6" t="str">
        <x:v>5</x:v>
      </x:c>
      <x:c r="G81" s="6" t="str">
        <x:v>-FT101</x:v>
      </x:c>
      <x:c r="H81" s="6" t="str">
        <x:v>=FC01+FLD-FT101</x:v>
      </x:c>
      <x:c r="I81" s="6" t="str">
        <x:v>0V</x:v>
      </x:c>
      <x:c r="J81" s="6" t="str">
        <x:v>-A101</x:v>
      </x:c>
      <x:c r="K81" s="6" t="str">
        <x:v>=FC01+CP01-A101</x:v>
      </x:c>
      <x:c r="L81" s="6" t="str">
        <x:v>CH1 A</x:v>
      </x:c>
      <x:c r="M81" s="6" t="str">
        <x:v>TM1.CH1.A</x:v>
      </x:c>
      <x:c r="N81" s="6" t="str">
        <x:v>0V</x:v>
      </x:c>
      <x:c r="O81" s="6" t="str">
        <x:v>W0118</x:v>
      </x:c>
      <x:c r="P81" s="6" t="str">
        <x:v>X0:0V</x:v>
      </x:c>
      <x:c r="Q81" s="6" t="str">
        <x:v>Controlled Rev-D topology; conductor size/terminal family and native QET continuity verification remain open</x:v>
      </x:c>
    </x:row>
    <x:row r="82" ht="27" customHeight="1">
      <x:c r="A82" s="6" t="str">
        <x:v>X24:+24V</x:v>
      </x:c>
      <x:c r="B82" s="6" t="str">
        <x:v>=FC01+CP01-X24</x:v>
      </x:c>
      <x:c r="C82" s="6" t="str">
        <x:v>X24:+24V</x:v>
      </x:c>
      <x:c r="D82" s="6" t="str">
        <x:v>Fused 24 VDC distribution reference</x:v>
      </x:c>
      <x:c r="E82" s="6" t="str"/>
      <x:c r="F82" s="6" t="str"/>
      <x:c r="G82" s="6" t="str"/>
      <x:c r="H82" s="6" t="str"/>
      <x:c r="I82" s="6" t="str"/>
      <x:c r="J82" s="6" t="str"/>
      <x:c r="K82" s="6" t="str"/>
      <x:c r="L82" s="6" t="str"/>
      <x:c r="M82" s="6" t="str"/>
      <x:c r="N82" s="6" t="str">
        <x:v>+24VDC</x:v>
      </x:c>
      <x:c r="O82" s="6" t="str"/>
      <x:c r="P82" s="6" t="str"/>
      <x:c r="Q82" s="6" t="str">
        <x:v>Final product family and bridge plan open</x:v>
      </x:c>
    </x:row>
    <x:row r="83" ht="27" customHeight="1">
      <x:c r="A83" s="6" t="str">
        <x:v>X0:0V</x:v>
      </x:c>
      <x:c r="B83" s="6" t="str">
        <x:v>=FC01+CP01-X0</x:v>
      </x:c>
      <x:c r="C83" s="6" t="str">
        <x:v>X0:0V</x:v>
      </x:c>
      <x:c r="D83" s="6" t="str">
        <x:v>0 V distribution reference</x:v>
      </x:c>
      <x:c r="E83" s="6" t="str"/>
      <x:c r="F83" s="6" t="str"/>
      <x:c r="G83" s="6" t="str"/>
      <x:c r="H83" s="6" t="str"/>
      <x:c r="I83" s="6" t="str"/>
      <x:c r="J83" s="6" t="str"/>
      <x:c r="K83" s="6" t="str"/>
      <x:c r="L83" s="6" t="str"/>
      <x:c r="M83" s="6" t="str"/>
      <x:c r="N83" s="6" t="str">
        <x:v>0V</x:v>
      </x:c>
      <x:c r="O83" s="6" t="str"/>
      <x:c r="P83" s="6" t="str"/>
      <x:c r="Q83" s="6" t="str">
        <x:v>0 V/PE bonding policy requires site EMC decision</x:v>
      </x:c>
    </x:row>
    <x:row r="84" ht="27" customHeight="1">
      <x:c r="A84" s="6" t="str">
        <x:v>X0:MANA</x:v>
      </x:c>
      <x:c r="B84" s="6" t="str">
        <x:v>=FC01+CP01-X0</x:v>
      </x:c>
      <x:c r="C84" s="6" t="str">
        <x:v>X0:MANA</x:v>
      </x:c>
      <x:c r="D84" s="6" t="str">
        <x:v>Analog reference</x:v>
      </x:c>
      <x:c r="E84" s="6" t="str"/>
      <x:c r="F84" s="6" t="str"/>
      <x:c r="G84" s="6" t="str"/>
      <x:c r="H84" s="6" t="str"/>
      <x:c r="I84" s="6" t="str"/>
      <x:c r="J84" s="6" t="str"/>
      <x:c r="K84" s="6" t="str"/>
      <x:c r="L84" s="6" t="str"/>
      <x:c r="M84" s="6" t="str"/>
      <x:c r="N84" s="6" t="str">
        <x:v>0V analog</x:v>
      </x:c>
      <x:c r="O84" s="6" t="str"/>
      <x:c r="P84" s="6" t="str"/>
      <x:c r="Q84" s="6" t="str">
        <x:v>MANA/0 V bonding follows AI manual and approved EMC plan; native verification open</x:v>
      </x:c>
    </x:row>
    <x:row r="85" ht="27" customHeight="1">
      <x:c r="A85" s="6" t="str">
        <x:v>SC100:1</x:v>
      </x:c>
      <x:c r="B85" s="6" t="str">
        <x:v>=FC01+CP01-SC100</x:v>
      </x:c>
      <x:c r="C85" s="6" t="str">
        <x:v>SC100:1</x:v>
      </x:c>
      <x:c r="D85" s="6" t="str">
        <x:v>Panel-end shield clamp bonded once to PE100/functional earth</x:v>
      </x:c>
      <x:c r="E85" s="6" t="str"/>
      <x:c r="F85" s="6" t="str"/>
      <x:c r="G85" s="6" t="str"/>
      <x:c r="H85" s="6" t="str"/>
      <x:c r="I85" s="6" t="str"/>
      <x:c r="J85" s="6" t="str"/>
      <x:c r="K85" s="6" t="str"/>
      <x:c r="L85" s="6" t="str"/>
      <x:c r="M85" s="6" t="str"/>
      <x:c r="N85" s="6" t="str">
        <x:v>FE</x:v>
      </x:c>
      <x:c r="O85" s="6" t="str"/>
      <x:c r="P85" s="6" t="str"/>
      <x:c r="Q85" s="6" t="str">
        <x:v>Bond conductor size and physical route open pending EMC/PE design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0.630000114440918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19.3799991607666" hidden="0" customWidth="1"/>
    <x:col min="14" max="14" width="19.3799991607666" hidden="0" customWidth="1"/>
    <x:col min="15" max="15" width="22.5" hidden="0" customWidth="1"/>
    <x:col min="16" max="16" width="19.3799991607666" hidden="0" customWidth="1"/>
    <x:col min="17" max="17" width="19.3799991607666" hidden="0" customWidth="1"/>
    <x:col min="18" max="18" width="19.3799991607666" hidden="0" customWidth="1"/>
    <x:col min="19" max="19" width="19.3799991607666" hidden="0" customWidth="1"/>
    <x:col min="20" max="20" width="19.3799991607666" hidden="0" customWidth="1"/>
    <x:col min="21" max="21" width="19.3799991607666" hidden="0" customWidth="1"/>
    <x:col min="22" max="22" width="22.5" hidden="0" customWidth="1"/>
  </x:cols>
  <x:sheetData>
    <x:row r="1" ht="31.5" customHeight="1">
      <x:c r="A1" s="12" t="str">
        <x:v>signal</x:v>
      </x:c>
      <x:c r="B1" s="12" t="str">
        <x:v>function</x:v>
      </x:c>
      <x:c r="C1" s="12" t="str">
        <x:v>field_device</x:v>
      </x:c>
      <x:c r="D1" s="12" t="str">
        <x:v>field_designation</x:v>
      </x:c>
      <x:c r="E1" s="12" t="str">
        <x:v>field_pin</x:v>
      </x:c>
      <x:c r="F1" s="12" t="str">
        <x:v>cable_id</x:v>
      </x:c>
      <x:c r="G1" s="12" t="str">
        <x:v>cable_core</x:v>
      </x:c>
      <x:c r="H1" s="12" t="str">
        <x:v>field_terminal</x:v>
      </x:c>
      <x:c r="I1" s="12" t="str">
        <x:v>panel_terminal</x:v>
      </x:c>
      <x:c r="J1" s="12" t="str">
        <x:v>internal_wire</x:v>
      </x:c>
      <x:c r="K1" s="12" t="str">
        <x:v>interposing_device</x:v>
      </x:c>
      <x:c r="L1" s="12" t="str">
        <x:v>module</x:v>
      </x:c>
      <x:c r="M1" s="12" t="str">
        <x:v>module_designation</x:v>
      </x:c>
      <x:c r="N1" s="12" t="str">
        <x:v>module_terminal</x:v>
      </x:c>
      <x:c r="O1" s="12" t="str">
        <x:v>plc_address</x:v>
      </x:c>
      <x:c r="P1" s="12" t="str">
        <x:v>potential</x:v>
      </x:c>
      <x:c r="Q1" s="12" t="str">
        <x:v>return_common</x:v>
      </x:c>
      <x:c r="R1" s="12" t="str">
        <x:v>shield_termination</x:v>
      </x:c>
      <x:c r="S1" s="12" t="str">
        <x:v>conductor_mm2</x:v>
      </x:c>
      <x:c r="T1" s="12" t="str">
        <x:v>color</x:v>
      </x:c>
      <x:c r="U1" s="12" t="str">
        <x:v>destination</x:v>
      </x:c>
      <x:c r="V1" s="12" t="str">
        <x:v>status</x:v>
      </x:c>
    </x:row>
    <x:row r="2" ht="27" customHeight="1">
      <x:c r="A2" s="6" t="str">
        <x:v>SAFETY_OK</x:v>
      </x:c>
      <x:c r="B2" s="6" t="str">
        <x:v>Safety-interface monitor contact supply</x:v>
      </x:c>
      <x:c r="C2" s="6" t="str">
        <x:v>-K100</x:v>
      </x:c>
      <x:c r="D2" s="6" t="str">
        <x:v>=FC01+CP01-K100</x:v>
      </x:c>
      <x:c r="E2" s="6" t="str">
        <x:v>13</x:v>
      </x:c>
      <x:c r="F2" s="6" t="str"/>
      <x:c r="G2" s="6" t="str"/>
      <x:c r="H2" s="6" t="str">
        <x:v>-K100:13</x:v>
      </x:c>
      <x:c r="I2" s="6" t="str"/>
      <x:c r="J2" s="6" t="str">
        <x:v>W0001</x:v>
      </x:c>
      <x:c r="K2" s="6" t="str"/>
      <x:c r="L2" s="6" t="str">
        <x:v>-A102</x:v>
      </x:c>
      <x:c r="M2" s="6" t="str">
        <x:v>=FC01+CP01-A102</x:v>
      </x:c>
      <x:c r="N2" s="6" t="str">
        <x:v>0</x:v>
      </x:c>
      <x:c r="O2" s="6" t="str">
        <x:v>I0.0</x:v>
      </x:c>
      <x:c r="P2" s="6" t="str">
        <x:v>+24VDC fused</x:v>
      </x:c>
      <x:c r="Q2" s="6" t="str"/>
      <x:c r="R2" s="6" t="str"/>
      <x:c r="S2" s="6" t="str"/>
      <x:c r="T2" s="6" t="str">
        <x:v>RD</x:v>
      </x:c>
      <x:c r="U2" s="6" t="str">
        <x:v>=FC01+CP01-X24:+24V</x:v>
      </x:c>
      <x:c r="V2" s="6" t="str">
        <x:v>Controlled Rev-D topology; conductor size/terminal family and native QET continuity verification remain open</x:v>
      </x:c>
    </x:row>
    <x:row r="3" ht="27" customHeight="1">
      <x:c r="A3" s="6" t="str">
        <x:v>SAFETY_OK</x:v>
      </x:c>
      <x:c r="B3" s="6" t="str">
        <x:v>Safety-interface monitor contact signal</x:v>
      </x:c>
      <x:c r="C3" s="6" t="str">
        <x:v>-K100</x:v>
      </x:c>
      <x:c r="D3" s="6" t="str">
        <x:v>=FC01+CP01-K100</x:v>
      </x:c>
      <x:c r="E3" s="6" t="str">
        <x:v>14</x:v>
      </x:c>
      <x:c r="F3" s="6" t="str"/>
      <x:c r="G3" s="6" t="str"/>
      <x:c r="H3" s="6" t="str">
        <x:v>-K100:14</x:v>
      </x:c>
      <x:c r="I3" s="6" t="str"/>
      <x:c r="J3" s="6" t="str">
        <x:v>W0002</x:v>
      </x:c>
      <x:c r="K3" s="6" t="str"/>
      <x:c r="L3" s="6" t="str">
        <x:v>-A102</x:v>
      </x:c>
      <x:c r="M3" s="6" t="str">
        <x:v>=FC01+CP01-A102</x:v>
      </x:c>
      <x:c r="N3" s="6" t="str">
        <x:v>0</x:v>
      </x:c>
      <x:c r="O3" s="6" t="str">
        <x:v>I0.0</x:v>
      </x:c>
      <x:c r="P3" s="6" t="str">
        <x:v>24 VDC switched</x:v>
      </x:c>
      <x:c r="Q3" s="6" t="str"/>
      <x:c r="R3" s="6" t="str"/>
      <x:c r="S3" s="6" t="str"/>
      <x:c r="T3" s="6" t="str">
        <x:v>BK</x:v>
      </x:c>
      <x:c r="U3" s="6" t="str">
        <x:v>=FC01+CP01-A102:0</x:v>
      </x:c>
      <x:c r="V3" s="6" t="str">
        <x:v>Controlled Rev-D topology; conductor size/terminal family and native QET continuity verification remain open</x:v>
      </x:c>
    </x:row>
    <x:row r="4" ht="27" customHeight="1">
      <x:c r="A4" s="6" t="str">
        <x:v>GUARD_CLOSED_STATUS</x:v>
      </x:c>
      <x:c r="B4" s="6" t="str">
        <x:v>Guard-monitor contact signal</x:v>
      </x:c>
      <x:c r="C4" s="6" t="str">
        <x:v>-S102</x:v>
      </x:c>
      <x:c r="D4" s="6" t="str">
        <x:v>=FC01+FLD-S102</x:v>
      </x:c>
      <x:c r="E4" s="6" t="str">
        <x:v>2</x:v>
      </x:c>
      <x:c r="F4" s="6" t="str">
        <x:v>C001</x:v>
      </x:c>
      <x:c r="G4" s="6" t="str">
        <x:v>1</x:v>
      </x:c>
      <x:c r="H4" s="6" t="str">
        <x:v>-S102:2</x:v>
      </x:c>
      <x:c r="I4" s="6" t="str">
        <x:v>X100:1</x:v>
      </x:c>
      <x:c r="J4" s="6" t="str">
        <x:v>W0003</x:v>
      </x:c>
      <x:c r="K4" s="6" t="str"/>
      <x:c r="L4" s="6" t="str">
        <x:v>-A102</x:v>
      </x:c>
      <x:c r="M4" s="6" t="str">
        <x:v>=FC01+CP01-A102</x:v>
      </x:c>
      <x:c r="N4" s="6" t="str">
        <x:v>1</x:v>
      </x:c>
      <x:c r="O4" s="6" t="str">
        <x:v>I0.1</x:v>
      </x:c>
      <x:c r="P4" s="6" t="str">
        <x:v>24 VDC switched</x:v>
      </x:c>
      <x:c r="Q4" s="6" t="str"/>
      <x:c r="R4" s="6" t="str"/>
      <x:c r="S4" s="6" t="str"/>
      <x:c r="T4" s="6" t="str">
        <x:v>BK</x:v>
      </x:c>
      <x:c r="U4" s="6" t="str">
        <x:v>=FC01+CP01-A102:1</x:v>
      </x:c>
      <x:c r="V4" s="6" t="str">
        <x:v>Controlled Rev-D topology; conductor size/terminal family and native QET continuity verification remain open</x:v>
      </x:c>
    </x:row>
    <x:row r="5" ht="27" customHeight="1">
      <x:c r="A5" s="6" t="str">
        <x:v>GUARD_CLOSED_STATUS</x:v>
      </x:c>
      <x:c r="B5" s="6" t="str">
        <x:v>Guard-monitor contact supply</x:v>
      </x:c>
      <x:c r="C5" s="6" t="str">
        <x:v>-S102</x:v>
      </x:c>
      <x:c r="D5" s="6" t="str">
        <x:v>=FC01+FLD-S102</x:v>
      </x:c>
      <x:c r="E5" s="6" t="str">
        <x:v>1</x:v>
      </x:c>
      <x:c r="F5" s="6" t="str">
        <x:v>C001</x:v>
      </x:c>
      <x:c r="G5" s="6" t="str">
        <x:v>2</x:v>
      </x:c>
      <x:c r="H5" s="6" t="str">
        <x:v>-S102:1</x:v>
      </x:c>
      <x:c r="I5" s="6" t="str">
        <x:v>X100:2</x:v>
      </x:c>
      <x:c r="J5" s="6" t="str">
        <x:v>W0004</x:v>
      </x:c>
      <x:c r="K5" s="6" t="str"/>
      <x:c r="L5" s="6" t="str">
        <x:v>-A102</x:v>
      </x:c>
      <x:c r="M5" s="6" t="str">
        <x:v>=FC01+CP01-A102</x:v>
      </x:c>
      <x:c r="N5" s="6" t="str">
        <x:v>1</x:v>
      </x:c>
      <x:c r="O5" s="6" t="str">
        <x:v>I0.1</x:v>
      </x:c>
      <x:c r="P5" s="6" t="str">
        <x:v>+24VDC fused</x:v>
      </x:c>
      <x:c r="Q5" s="6" t="str"/>
      <x:c r="R5" s="6" t="str"/>
      <x:c r="S5" s="6" t="str"/>
      <x:c r="T5" s="6" t="str">
        <x:v>RD</x:v>
      </x:c>
      <x:c r="U5" s="6" t="str">
        <x:v>=FC01+CP01-X24:+24V</x:v>
      </x:c>
      <x:c r="V5" s="6" t="str">
        <x:v>Controlled Rev-D topology; conductor size/terminal family and native QET continuity verification remain open</x:v>
      </x:c>
    </x:row>
    <x:row r="6" ht="27" customHeight="1">
      <x:c r="A6" s="6" t="str">
        <x:v>AIR_PRESSURE_OK</x:v>
      </x:c>
      <x:c r="B6" s="6" t="str">
        <x:v>PNP signal</x:v>
      </x:c>
      <x:c r="C6" s="6" t="str">
        <x:v>-B100</x:v>
      </x:c>
      <x:c r="D6" s="6" t="str">
        <x:v>=FC01+FLD-B100</x:v>
      </x:c>
      <x:c r="E6" s="6" t="str">
        <x:v>4</x:v>
      </x:c>
      <x:c r="F6" s="6" t="str">
        <x:v>C002</x:v>
      </x:c>
      <x:c r="G6" s="6" t="str">
        <x:v>1</x:v>
      </x:c>
      <x:c r="H6" s="6" t="str">
        <x:v>-B100:4</x:v>
      </x:c>
      <x:c r="I6" s="6" t="str">
        <x:v>X100:3</x:v>
      </x:c>
      <x:c r="J6" s="6" t="str">
        <x:v>W0005</x:v>
      </x:c>
      <x:c r="K6" s="6" t="str"/>
      <x:c r="L6" s="6" t="str">
        <x:v>-A102</x:v>
      </x:c>
      <x:c r="M6" s="6" t="str">
        <x:v>=FC01+CP01-A102</x:v>
      </x:c>
      <x:c r="N6" s="6" t="str">
        <x:v>2</x:v>
      </x:c>
      <x:c r="O6" s="6" t="str">
        <x:v>I0.2</x:v>
      </x:c>
      <x:c r="P6" s="6" t="str">
        <x:v>24 VDC switched</x:v>
      </x:c>
      <x:c r="Q6" s="6" t="str"/>
      <x:c r="R6" s="6" t="str"/>
      <x:c r="S6" s="6" t="str"/>
      <x:c r="T6" s="6" t="str">
        <x:v>BK</x:v>
      </x:c>
      <x:c r="U6" s="6" t="str">
        <x:v>=FC01+CP01-A102:2</x:v>
      </x:c>
      <x:c r="V6" s="6" t="str">
        <x:v>Controlled Rev-D topology; conductor size/terminal family and native QET continuity verification remain open</x:v>
      </x:c>
    </x:row>
    <x:row r="7" ht="27" customHeight="1">
      <x:c r="A7" s="6" t="str">
        <x:v>AIR_PRESSURE_OK</x:v>
      </x:c>
      <x:c r="B7" s="6" t="str">
        <x:v>Sensor/interface supply</x:v>
      </x:c>
      <x:c r="C7" s="6" t="str">
        <x:v>-B100</x:v>
      </x:c>
      <x:c r="D7" s="6" t="str">
        <x:v>=FC01+FLD-B100</x:v>
      </x:c>
      <x:c r="E7" s="6" t="str">
        <x:v>1</x:v>
      </x:c>
      <x:c r="F7" s="6" t="str">
        <x:v>C002</x:v>
      </x:c>
      <x:c r="G7" s="6" t="str">
        <x:v>2</x:v>
      </x:c>
      <x:c r="H7" s="6" t="str">
        <x:v>-B100:1</x:v>
      </x:c>
      <x:c r="I7" s="6" t="str">
        <x:v>X100:4</x:v>
      </x:c>
      <x:c r="J7" s="6" t="str">
        <x:v>W0006</x:v>
      </x:c>
      <x:c r="K7" s="6" t="str"/>
      <x:c r="L7" s="6" t="str">
        <x:v>-A102</x:v>
      </x:c>
      <x:c r="M7" s="6" t="str">
        <x:v>=FC01+CP01-A102</x:v>
      </x:c>
      <x:c r="N7" s="6" t="str">
        <x:v>2</x:v>
      </x:c>
      <x:c r="O7" s="6" t="str">
        <x:v>I0.2</x:v>
      </x:c>
      <x:c r="P7" s="6" t="str">
        <x:v>+24VDC fused</x:v>
      </x:c>
      <x:c r="Q7" s="6" t="str"/>
      <x:c r="R7" s="6" t="str"/>
      <x:c r="S7" s="6" t="str"/>
      <x:c r="T7" s="6" t="str">
        <x:v>BN</x:v>
      </x:c>
      <x:c r="U7" s="6" t="str">
        <x:v>=FC01+CP01-X24:+24V</x:v>
      </x:c>
      <x:c r="V7" s="6" t="str">
        <x:v>Controlled Rev-D topology; conductor size/terminal family and native QET continuity verification remain open</x:v>
      </x:c>
    </x:row>
    <x:row r="8" ht="27" customHeight="1">
      <x:c r="A8" s="6" t="str">
        <x:v>AIR_PRESSURE_OK</x:v>
      </x:c>
      <x:c r="B8" s="6" t="str">
        <x:v>Sensor/interface return</x:v>
      </x:c>
      <x:c r="C8" s="6" t="str">
        <x:v>-B100</x:v>
      </x:c>
      <x:c r="D8" s="6" t="str">
        <x:v>=FC01+FLD-B100</x:v>
      </x:c>
      <x:c r="E8" s="6" t="str">
        <x:v>3</x:v>
      </x:c>
      <x:c r="F8" s="6" t="str">
        <x:v>C002</x:v>
      </x:c>
      <x:c r="G8" s="6" t="str">
        <x:v>3</x:v>
      </x:c>
      <x:c r="H8" s="6" t="str">
        <x:v>-B100:3</x:v>
      </x:c>
      <x:c r="I8" s="6" t="str">
        <x:v>X100:5</x:v>
      </x:c>
      <x:c r="J8" s="6" t="str">
        <x:v>W0007</x:v>
      </x:c>
      <x:c r="K8" s="6" t="str"/>
      <x:c r="L8" s="6" t="str">
        <x:v>-A102</x:v>
      </x:c>
      <x:c r="M8" s="6" t="str">
        <x:v>=FC01+CP01-A102</x:v>
      </x:c>
      <x:c r="N8" s="6" t="str">
        <x:v>2</x:v>
      </x:c>
      <x:c r="O8" s="6" t="str">
        <x:v>I0.2</x:v>
      </x:c>
      <x:c r="P8" s="6" t="str">
        <x:v>0V</x:v>
      </x:c>
      <x:c r="Q8" s="6" t="str">
        <x:v>X0:0V</x:v>
      </x:c>
      <x:c r="R8" s="6" t="str"/>
      <x:c r="S8" s="6" t="str"/>
      <x:c r="T8" s="6" t="str">
        <x:v>BU</x:v>
      </x:c>
      <x:c r="U8" s="6" t="str">
        <x:v>=FC01+CP01-X0:0V</x:v>
      </x:c>
      <x:c r="V8" s="6" t="str">
        <x:v>Controlled Rev-D topology; conductor size/terminal family and native QET continuity verification remain open</x:v>
      </x:c>
    </x:row>
    <x:row r="9" ht="27" customHeight="1">
      <x:c r="A9" s="6" t="str">
        <x:v>PRODUCT_SUPPLY_OK</x:v>
      </x:c>
      <x:c r="B9" s="6" t="str">
        <x:v>PNP signal</x:v>
      </x:c>
      <x:c r="C9" s="6" t="str">
        <x:v>-B101</x:v>
      </x:c>
      <x:c r="D9" s="6" t="str">
        <x:v>=FC01+FLD-B101</x:v>
      </x:c>
      <x:c r="E9" s="6" t="str">
        <x:v>4</x:v>
      </x:c>
      <x:c r="F9" s="6" t="str">
        <x:v>C003</x:v>
      </x:c>
      <x:c r="G9" s="6" t="str">
        <x:v>1</x:v>
      </x:c>
      <x:c r="H9" s="6" t="str">
        <x:v>-B101:4</x:v>
      </x:c>
      <x:c r="I9" s="6" t="str">
        <x:v>X100:6</x:v>
      </x:c>
      <x:c r="J9" s="6" t="str">
        <x:v>W0008</x:v>
      </x:c>
      <x:c r="K9" s="6" t="str"/>
      <x:c r="L9" s="6" t="str">
        <x:v>-A102</x:v>
      </x:c>
      <x:c r="M9" s="6" t="str">
        <x:v>=FC01+CP01-A102</x:v>
      </x:c>
      <x:c r="N9" s="6" t="str">
        <x:v>3</x:v>
      </x:c>
      <x:c r="O9" s="6" t="str">
        <x:v>I0.3</x:v>
      </x:c>
      <x:c r="P9" s="6" t="str">
        <x:v>24 VDC switched</x:v>
      </x:c>
      <x:c r="Q9" s="6" t="str"/>
      <x:c r="R9" s="6" t="str"/>
      <x:c r="S9" s="6" t="str"/>
      <x:c r="T9" s="6" t="str">
        <x:v>BK</x:v>
      </x:c>
      <x:c r="U9" s="6" t="str">
        <x:v>=FC01+CP01-A102:3</x:v>
      </x:c>
      <x:c r="V9" s="6" t="str">
        <x:v>Controlled Rev-D topology; conductor size/terminal family and native QET continuity verification remain open</x:v>
      </x:c>
    </x:row>
    <x:row r="10" ht="27" customHeight="1">
      <x:c r="A10" s="6" t="str">
        <x:v>PRODUCT_SUPPLY_OK</x:v>
      </x:c>
      <x:c r="B10" s="6" t="str">
        <x:v>Sensor/interface supply</x:v>
      </x:c>
      <x:c r="C10" s="6" t="str">
        <x:v>-B101</x:v>
      </x:c>
      <x:c r="D10" s="6" t="str">
        <x:v>=FC01+FLD-B101</x:v>
      </x:c>
      <x:c r="E10" s="6" t="str">
        <x:v>1</x:v>
      </x:c>
      <x:c r="F10" s="6" t="str">
        <x:v>C003</x:v>
      </x:c>
      <x:c r="G10" s="6" t="str">
        <x:v>2</x:v>
      </x:c>
      <x:c r="H10" s="6" t="str">
        <x:v>-B101:1</x:v>
      </x:c>
      <x:c r="I10" s="6" t="str">
        <x:v>X100:7</x:v>
      </x:c>
      <x:c r="J10" s="6" t="str">
        <x:v>W0009</x:v>
      </x:c>
      <x:c r="K10" s="6" t="str"/>
      <x:c r="L10" s="6" t="str">
        <x:v>-A102</x:v>
      </x:c>
      <x:c r="M10" s="6" t="str">
        <x:v>=FC01+CP01-A102</x:v>
      </x:c>
      <x:c r="N10" s="6" t="str">
        <x:v>3</x:v>
      </x:c>
      <x:c r="O10" s="6" t="str">
        <x:v>I0.3</x:v>
      </x:c>
      <x:c r="P10" s="6" t="str">
        <x:v>+24VDC fused</x:v>
      </x:c>
      <x:c r="Q10" s="6" t="str"/>
      <x:c r="R10" s="6" t="str"/>
      <x:c r="S10" s="6" t="str"/>
      <x:c r="T10" s="6" t="str">
        <x:v>BN</x:v>
      </x:c>
      <x:c r="U10" s="6" t="str">
        <x:v>=FC01+CP01-X24:+24V</x:v>
      </x:c>
      <x:c r="V10" s="6" t="str">
        <x:v>Controlled Rev-D topology; conductor size/terminal family and native QET continuity verification remain open</x:v>
      </x:c>
    </x:row>
    <x:row r="11" ht="27" customHeight="1">
      <x:c r="A11" s="6" t="str">
        <x:v>PRODUCT_SUPPLY_OK</x:v>
      </x:c>
      <x:c r="B11" s="6" t="str">
        <x:v>Sensor/interface return</x:v>
      </x:c>
      <x:c r="C11" s="6" t="str">
        <x:v>-B101</x:v>
      </x:c>
      <x:c r="D11" s="6" t="str">
        <x:v>=FC01+FLD-B101</x:v>
      </x:c>
      <x:c r="E11" s="6" t="str">
        <x:v>3</x:v>
      </x:c>
      <x:c r="F11" s="6" t="str">
        <x:v>C003</x:v>
      </x:c>
      <x:c r="G11" s="6" t="str">
        <x:v>3</x:v>
      </x:c>
      <x:c r="H11" s="6" t="str">
        <x:v>-B101:3</x:v>
      </x:c>
      <x:c r="I11" s="6" t="str">
        <x:v>X100:8</x:v>
      </x:c>
      <x:c r="J11" s="6" t="str">
        <x:v>W0010</x:v>
      </x:c>
      <x:c r="K11" s="6" t="str"/>
      <x:c r="L11" s="6" t="str">
        <x:v>-A102</x:v>
      </x:c>
      <x:c r="M11" s="6" t="str">
        <x:v>=FC01+CP01-A102</x:v>
      </x:c>
      <x:c r="N11" s="6" t="str">
        <x:v>3</x:v>
      </x:c>
      <x:c r="O11" s="6" t="str">
        <x:v>I0.3</x:v>
      </x:c>
      <x:c r="P11" s="6" t="str">
        <x:v>0V</x:v>
      </x:c>
      <x:c r="Q11" s="6" t="str">
        <x:v>X0:0V</x:v>
      </x:c>
      <x:c r="R11" s="6" t="str"/>
      <x:c r="S11" s="6" t="str"/>
      <x:c r="T11" s="6" t="str">
        <x:v>BU</x:v>
      </x:c>
      <x:c r="U11" s="6" t="str">
        <x:v>=FC01+CP01-X0:0V</x:v>
      </x:c>
      <x:c r="V11" s="6" t="str">
        <x:v>Controlled Rev-D topology; conductor size/terminal family and native QET continuity verification remain open</x:v>
      </x:c>
    </x:row>
    <x:row r="12" ht="27" customHeight="1">
      <x:c r="A12" s="6" t="str">
        <x:v>BOTTLE_AT_NEST_1</x:v>
      </x:c>
      <x:c r="B12" s="6" t="str">
        <x:v>PNP signal</x:v>
      </x:c>
      <x:c r="C12" s="6" t="str">
        <x:v>-B110</x:v>
      </x:c>
      <x:c r="D12" s="6" t="str">
        <x:v>=FC01+FLD-B110</x:v>
      </x:c>
      <x:c r="E12" s="6" t="str">
        <x:v>4</x:v>
      </x:c>
      <x:c r="F12" s="6" t="str">
        <x:v>C004</x:v>
      </x:c>
      <x:c r="G12" s="6" t="str">
        <x:v>1</x:v>
      </x:c>
      <x:c r="H12" s="6" t="str">
        <x:v>-B110:4</x:v>
      </x:c>
      <x:c r="I12" s="6" t="str">
        <x:v>X100:9</x:v>
      </x:c>
      <x:c r="J12" s="6" t="str">
        <x:v>W0011</x:v>
      </x:c>
      <x:c r="K12" s="6" t="str"/>
      <x:c r="L12" s="6" t="str">
        <x:v>-A102</x:v>
      </x:c>
      <x:c r="M12" s="6" t="str">
        <x:v>=FC01+CP01-A102</x:v>
      </x:c>
      <x:c r="N12" s="6" t="str">
        <x:v>10</x:v>
      </x:c>
      <x:c r="O12" s="6" t="str">
        <x:v>I1.2</x:v>
      </x:c>
      <x:c r="P12" s="6" t="str">
        <x:v>24 VDC switched</x:v>
      </x:c>
      <x:c r="Q12" s="6" t="str"/>
      <x:c r="R12" s="6" t="str"/>
      <x:c r="S12" s="6" t="str"/>
      <x:c r="T12" s="6" t="str">
        <x:v>BK</x:v>
      </x:c>
      <x:c r="U12" s="6" t="str">
        <x:v>=FC01+CP01-A102:10</x:v>
      </x:c>
      <x:c r="V12" s="6" t="str">
        <x:v>Controlled Rev-D topology; conductor size/terminal family and native QET continuity verification remain open</x:v>
      </x:c>
    </x:row>
    <x:row r="13" ht="27" customHeight="1">
      <x:c r="A13" s="6" t="str">
        <x:v>BOTTLE_AT_NEST_1</x:v>
      </x:c>
      <x:c r="B13" s="6" t="str">
        <x:v>Sensor/interface supply</x:v>
      </x:c>
      <x:c r="C13" s="6" t="str">
        <x:v>-B110</x:v>
      </x:c>
      <x:c r="D13" s="6" t="str">
        <x:v>=FC01+FLD-B110</x:v>
      </x:c>
      <x:c r="E13" s="6" t="str">
        <x:v>1</x:v>
      </x:c>
      <x:c r="F13" s="6" t="str">
        <x:v>C004</x:v>
      </x:c>
      <x:c r="G13" s="6" t="str">
        <x:v>2</x:v>
      </x:c>
      <x:c r="H13" s="6" t="str">
        <x:v>-B110:1</x:v>
      </x:c>
      <x:c r="I13" s="6" t="str">
        <x:v>X100:10</x:v>
      </x:c>
      <x:c r="J13" s="6" t="str">
        <x:v>W0012</x:v>
      </x:c>
      <x:c r="K13" s="6" t="str"/>
      <x:c r="L13" s="6" t="str">
        <x:v>-A102</x:v>
      </x:c>
      <x:c r="M13" s="6" t="str">
        <x:v>=FC01+CP01-A102</x:v>
      </x:c>
      <x:c r="N13" s="6" t="str">
        <x:v>10</x:v>
      </x:c>
      <x:c r="O13" s="6" t="str">
        <x:v>I1.2</x:v>
      </x:c>
      <x:c r="P13" s="6" t="str">
        <x:v>+24VDC fused</x:v>
      </x:c>
      <x:c r="Q13" s="6" t="str"/>
      <x:c r="R13" s="6" t="str"/>
      <x:c r="S13" s="6" t="str"/>
      <x:c r="T13" s="6" t="str">
        <x:v>BN</x:v>
      </x:c>
      <x:c r="U13" s="6" t="str">
        <x:v>=FC01+CP01-X24:+24V</x:v>
      </x:c>
      <x:c r="V13" s="6" t="str">
        <x:v>Controlled Rev-D topology; conductor size/terminal family and native QET continuity verification remain open</x:v>
      </x:c>
    </x:row>
    <x:row r="14" ht="27" customHeight="1">
      <x:c r="A14" s="6" t="str">
        <x:v>BOTTLE_AT_NEST_1</x:v>
      </x:c>
      <x:c r="B14" s="6" t="str">
        <x:v>Sensor/interface return</x:v>
      </x:c>
      <x:c r="C14" s="6" t="str">
        <x:v>-B110</x:v>
      </x:c>
      <x:c r="D14" s="6" t="str">
        <x:v>=FC01+FLD-B110</x:v>
      </x:c>
      <x:c r="E14" s="6" t="str">
        <x:v>3</x:v>
      </x:c>
      <x:c r="F14" s="6" t="str">
        <x:v>C004</x:v>
      </x:c>
      <x:c r="G14" s="6" t="str">
        <x:v>3</x:v>
      </x:c>
      <x:c r="H14" s="6" t="str">
        <x:v>-B110:3</x:v>
      </x:c>
      <x:c r="I14" s="6" t="str">
        <x:v>X100:11</x:v>
      </x:c>
      <x:c r="J14" s="6" t="str">
        <x:v>W0013</x:v>
      </x:c>
      <x:c r="K14" s="6" t="str"/>
      <x:c r="L14" s="6" t="str">
        <x:v>-A102</x:v>
      </x:c>
      <x:c r="M14" s="6" t="str">
        <x:v>=FC01+CP01-A102</x:v>
      </x:c>
      <x:c r="N14" s="6" t="str">
        <x:v>10</x:v>
      </x:c>
      <x:c r="O14" s="6" t="str">
        <x:v>I1.2</x:v>
      </x:c>
      <x:c r="P14" s="6" t="str">
        <x:v>0V</x:v>
      </x:c>
      <x:c r="Q14" s="6" t="str">
        <x:v>X0:0V</x:v>
      </x:c>
      <x:c r="R14" s="6" t="str"/>
      <x:c r="S14" s="6" t="str"/>
      <x:c r="T14" s="6" t="str">
        <x:v>BU</x:v>
      </x:c>
      <x:c r="U14" s="6" t="str">
        <x:v>=FC01+CP01-X0:0V</x:v>
      </x:c>
      <x:c r="V14" s="6" t="str">
        <x:v>Controlled Rev-D topology; conductor size/terminal family and native QET continuity verification remain open</x:v>
      </x:c>
    </x:row>
    <x:row r="15" ht="27" customHeight="1">
      <x:c r="A15" s="6" t="str">
        <x:v>BOTTLE_AT_NEST_2</x:v>
      </x:c>
      <x:c r="B15" s="6" t="str">
        <x:v>PNP signal</x:v>
      </x:c>
      <x:c r="C15" s="6" t="str">
        <x:v>-B111</x:v>
      </x:c>
      <x:c r="D15" s="6" t="str">
        <x:v>=FC01+FLD-B111</x:v>
      </x:c>
      <x:c r="E15" s="6" t="str">
        <x:v>4</x:v>
      </x:c>
      <x:c r="F15" s="6" t="str">
        <x:v>C005</x:v>
      </x:c>
      <x:c r="G15" s="6" t="str">
        <x:v>1</x:v>
      </x:c>
      <x:c r="H15" s="6" t="str">
        <x:v>-B111:4</x:v>
      </x:c>
      <x:c r="I15" s="6" t="str">
        <x:v>X100:12</x:v>
      </x:c>
      <x:c r="J15" s="6" t="str">
        <x:v>W0014</x:v>
      </x:c>
      <x:c r="K15" s="6" t="str"/>
      <x:c r="L15" s="6" t="str">
        <x:v>-A102</x:v>
      </x:c>
      <x:c r="M15" s="6" t="str">
        <x:v>=FC01+CP01-A102</x:v>
      </x:c>
      <x:c r="N15" s="6" t="str">
        <x:v>11</x:v>
      </x:c>
      <x:c r="O15" s="6" t="str">
        <x:v>I1.3</x:v>
      </x:c>
      <x:c r="P15" s="6" t="str">
        <x:v>24 VDC switched</x:v>
      </x:c>
      <x:c r="Q15" s="6" t="str"/>
      <x:c r="R15" s="6" t="str"/>
      <x:c r="S15" s="6" t="str"/>
      <x:c r="T15" s="6" t="str">
        <x:v>BK</x:v>
      </x:c>
      <x:c r="U15" s="6" t="str">
        <x:v>=FC01+CP01-A102:11</x:v>
      </x:c>
      <x:c r="V15" s="6" t="str">
        <x:v>Controlled Rev-D topology; conductor size/terminal family and native QET continuity verification remain open</x:v>
      </x:c>
    </x:row>
    <x:row r="16" ht="27" customHeight="1">
      <x:c r="A16" s="6" t="str">
        <x:v>BOTTLE_AT_NEST_2</x:v>
      </x:c>
      <x:c r="B16" s="6" t="str">
        <x:v>Sensor/interface supply</x:v>
      </x:c>
      <x:c r="C16" s="6" t="str">
        <x:v>-B111</x:v>
      </x:c>
      <x:c r="D16" s="6" t="str">
        <x:v>=FC01+FLD-B111</x:v>
      </x:c>
      <x:c r="E16" s="6" t="str">
        <x:v>1</x:v>
      </x:c>
      <x:c r="F16" s="6" t="str">
        <x:v>C005</x:v>
      </x:c>
      <x:c r="G16" s="6" t="str">
        <x:v>2</x:v>
      </x:c>
      <x:c r="H16" s="6" t="str">
        <x:v>-B111:1</x:v>
      </x:c>
      <x:c r="I16" s="6" t="str">
        <x:v>X100:13</x:v>
      </x:c>
      <x:c r="J16" s="6" t="str">
        <x:v>W0015</x:v>
      </x:c>
      <x:c r="K16" s="6" t="str"/>
      <x:c r="L16" s="6" t="str">
        <x:v>-A102</x:v>
      </x:c>
      <x:c r="M16" s="6" t="str">
        <x:v>=FC01+CP01-A102</x:v>
      </x:c>
      <x:c r="N16" s="6" t="str">
        <x:v>11</x:v>
      </x:c>
      <x:c r="O16" s="6" t="str">
        <x:v>I1.3</x:v>
      </x:c>
      <x:c r="P16" s="6" t="str">
        <x:v>+24VDC fused</x:v>
      </x:c>
      <x:c r="Q16" s="6" t="str"/>
      <x:c r="R16" s="6" t="str"/>
      <x:c r="S16" s="6" t="str"/>
      <x:c r="T16" s="6" t="str">
        <x:v>BN</x:v>
      </x:c>
      <x:c r="U16" s="6" t="str">
        <x:v>=FC01+CP01-X24:+24V</x:v>
      </x:c>
      <x:c r="V16" s="6" t="str">
        <x:v>Controlled Rev-D topology; conductor size/terminal family and native QET continuity verification remain open</x:v>
      </x:c>
    </x:row>
    <x:row r="17" ht="27" customHeight="1">
      <x:c r="A17" s="6" t="str">
        <x:v>BOTTLE_AT_NEST_2</x:v>
      </x:c>
      <x:c r="B17" s="6" t="str">
        <x:v>Sensor/interface return</x:v>
      </x:c>
      <x:c r="C17" s="6" t="str">
        <x:v>-B111</x:v>
      </x:c>
      <x:c r="D17" s="6" t="str">
        <x:v>=FC01+FLD-B111</x:v>
      </x:c>
      <x:c r="E17" s="6" t="str">
        <x:v>3</x:v>
      </x:c>
      <x:c r="F17" s="6" t="str">
        <x:v>C005</x:v>
      </x:c>
      <x:c r="G17" s="6" t="str">
        <x:v>3</x:v>
      </x:c>
      <x:c r="H17" s="6" t="str">
        <x:v>-B111:3</x:v>
      </x:c>
      <x:c r="I17" s="6" t="str">
        <x:v>X100:14</x:v>
      </x:c>
      <x:c r="J17" s="6" t="str">
        <x:v>W0016</x:v>
      </x:c>
      <x:c r="K17" s="6" t="str"/>
      <x:c r="L17" s="6" t="str">
        <x:v>-A102</x:v>
      </x:c>
      <x:c r="M17" s="6" t="str">
        <x:v>=FC01+CP01-A102</x:v>
      </x:c>
      <x:c r="N17" s="6" t="str">
        <x:v>11</x:v>
      </x:c>
      <x:c r="O17" s="6" t="str">
        <x:v>I1.3</x:v>
      </x:c>
      <x:c r="P17" s="6" t="str">
        <x:v>0V</x:v>
      </x:c>
      <x:c r="Q17" s="6" t="str">
        <x:v>X0:0V</x:v>
      </x:c>
      <x:c r="R17" s="6" t="str"/>
      <x:c r="S17" s="6" t="str"/>
      <x:c r="T17" s="6" t="str">
        <x:v>BU</x:v>
      </x:c>
      <x:c r="U17" s="6" t="str">
        <x:v>=FC01+CP01-X0:0V</x:v>
      </x:c>
      <x:c r="V17" s="6" t="str">
        <x:v>Controlled Rev-D topology; conductor size/terminal family and native QET continuity verification remain open</x:v>
      </x:c>
    </x:row>
    <x:row r="18" ht="27" customHeight="1">
      <x:c r="A18" s="6" t="str">
        <x:v>GATE_OPEN_FB</x:v>
      </x:c>
      <x:c r="B18" s="6" t="str">
        <x:v>PNP signal</x:v>
      </x:c>
      <x:c r="C18" s="6" t="str">
        <x:v>-B120</x:v>
      </x:c>
      <x:c r="D18" s="6" t="str">
        <x:v>=FC01+FLD-B120</x:v>
      </x:c>
      <x:c r="E18" s="6" t="str">
        <x:v>4</x:v>
      </x:c>
      <x:c r="F18" s="6" t="str">
        <x:v>C006</x:v>
      </x:c>
      <x:c r="G18" s="6" t="str">
        <x:v>1</x:v>
      </x:c>
      <x:c r="H18" s="6" t="str">
        <x:v>-B120:4</x:v>
      </x:c>
      <x:c r="I18" s="6" t="str">
        <x:v>X100:15</x:v>
      </x:c>
      <x:c r="J18" s="6" t="str">
        <x:v>W0017</x:v>
      </x:c>
      <x:c r="K18" s="6" t="str"/>
      <x:c r="L18" s="6" t="str">
        <x:v>-A102</x:v>
      </x:c>
      <x:c r="M18" s="6" t="str">
        <x:v>=FC01+CP01-A102</x:v>
      </x:c>
      <x:c r="N18" s="6" t="str">
        <x:v>12</x:v>
      </x:c>
      <x:c r="O18" s="6" t="str">
        <x:v>I1.4</x:v>
      </x:c>
      <x:c r="P18" s="6" t="str">
        <x:v>24 VDC switched</x:v>
      </x:c>
      <x:c r="Q18" s="6" t="str"/>
      <x:c r="R18" s="6" t="str"/>
      <x:c r="S18" s="6" t="str"/>
      <x:c r="T18" s="6" t="str">
        <x:v>BK</x:v>
      </x:c>
      <x:c r="U18" s="6" t="str">
        <x:v>=FC01+CP01-A102:12</x:v>
      </x:c>
      <x:c r="V18" s="6" t="str">
        <x:v>Controlled Rev-D topology; conductor size/terminal family and native QET continuity verification remain open</x:v>
      </x:c>
    </x:row>
    <x:row r="19" ht="27" customHeight="1">
      <x:c r="A19" s="6" t="str">
        <x:v>GATE_OPEN_FB</x:v>
      </x:c>
      <x:c r="B19" s="6" t="str">
        <x:v>Sensor/interface supply</x:v>
      </x:c>
      <x:c r="C19" s="6" t="str">
        <x:v>-B120</x:v>
      </x:c>
      <x:c r="D19" s="6" t="str">
        <x:v>=FC01+FLD-B120</x:v>
      </x:c>
      <x:c r="E19" s="6" t="str">
        <x:v>1</x:v>
      </x:c>
      <x:c r="F19" s="6" t="str">
        <x:v>C006</x:v>
      </x:c>
      <x:c r="G19" s="6" t="str">
        <x:v>2</x:v>
      </x:c>
      <x:c r="H19" s="6" t="str">
        <x:v>-B120:1</x:v>
      </x:c>
      <x:c r="I19" s="6" t="str">
        <x:v>X100:16</x:v>
      </x:c>
      <x:c r="J19" s="6" t="str">
        <x:v>W0018</x:v>
      </x:c>
      <x:c r="K19" s="6" t="str"/>
      <x:c r="L19" s="6" t="str">
        <x:v>-A102</x:v>
      </x:c>
      <x:c r="M19" s="6" t="str">
        <x:v>=FC01+CP01-A102</x:v>
      </x:c>
      <x:c r="N19" s="6" t="str">
        <x:v>12</x:v>
      </x:c>
      <x:c r="O19" s="6" t="str">
        <x:v>I1.4</x:v>
      </x:c>
      <x:c r="P19" s="6" t="str">
        <x:v>+24VDC fused</x:v>
      </x:c>
      <x:c r="Q19" s="6" t="str"/>
      <x:c r="R19" s="6" t="str"/>
      <x:c r="S19" s="6" t="str"/>
      <x:c r="T19" s="6" t="str">
        <x:v>BN</x:v>
      </x:c>
      <x:c r="U19" s="6" t="str">
        <x:v>=FC01+CP01-X24:+24V</x:v>
      </x:c>
      <x:c r="V19" s="6" t="str">
        <x:v>Controlled Rev-D topology; conductor size/terminal family and native QET continuity verification remain open</x:v>
      </x:c>
    </x:row>
    <x:row r="20" ht="27" customHeight="1">
      <x:c r="A20" s="6" t="str">
        <x:v>GATE_OPEN_FB</x:v>
      </x:c>
      <x:c r="B20" s="6" t="str">
        <x:v>Sensor/interface return</x:v>
      </x:c>
      <x:c r="C20" s="6" t="str">
        <x:v>-B120</x:v>
      </x:c>
      <x:c r="D20" s="6" t="str">
        <x:v>=FC01+FLD-B120</x:v>
      </x:c>
      <x:c r="E20" s="6" t="str">
        <x:v>3</x:v>
      </x:c>
      <x:c r="F20" s="6" t="str">
        <x:v>C006</x:v>
      </x:c>
      <x:c r="G20" s="6" t="str">
        <x:v>3</x:v>
      </x:c>
      <x:c r="H20" s="6" t="str">
        <x:v>-B120:3</x:v>
      </x:c>
      <x:c r="I20" s="6" t="str">
        <x:v>X100:17</x:v>
      </x:c>
      <x:c r="J20" s="6" t="str">
        <x:v>W0019</x:v>
      </x:c>
      <x:c r="K20" s="6" t="str"/>
      <x:c r="L20" s="6" t="str">
        <x:v>-A102</x:v>
      </x:c>
      <x:c r="M20" s="6" t="str">
        <x:v>=FC01+CP01-A102</x:v>
      </x:c>
      <x:c r="N20" s="6" t="str">
        <x:v>12</x:v>
      </x:c>
      <x:c r="O20" s="6" t="str">
        <x:v>I1.4</x:v>
      </x:c>
      <x:c r="P20" s="6" t="str">
        <x:v>0V</x:v>
      </x:c>
      <x:c r="Q20" s="6" t="str">
        <x:v>X0:0V</x:v>
      </x:c>
      <x:c r="R20" s="6" t="str"/>
      <x:c r="S20" s="6" t="str"/>
      <x:c r="T20" s="6" t="str">
        <x:v>BU</x:v>
      </x:c>
      <x:c r="U20" s="6" t="str">
        <x:v>=FC01+CP01-X0:0V</x:v>
      </x:c>
      <x:c r="V20" s="6" t="str">
        <x:v>Controlled Rev-D topology; conductor size/terminal family and native QET continuity verification remain open</x:v>
      </x:c>
    </x:row>
    <x:row r="21" ht="27" customHeight="1">
      <x:c r="A21" s="6" t="str">
        <x:v>GATE_CLOSED_FB</x:v>
      </x:c>
      <x:c r="B21" s="6" t="str">
        <x:v>PNP signal</x:v>
      </x:c>
      <x:c r="C21" s="6" t="str">
        <x:v>-B121</x:v>
      </x:c>
      <x:c r="D21" s="6" t="str">
        <x:v>=FC01+FLD-B121</x:v>
      </x:c>
      <x:c r="E21" s="6" t="str">
        <x:v>4</x:v>
      </x:c>
      <x:c r="F21" s="6" t="str">
        <x:v>C007</x:v>
      </x:c>
      <x:c r="G21" s="6" t="str">
        <x:v>1</x:v>
      </x:c>
      <x:c r="H21" s="6" t="str">
        <x:v>-B121:4</x:v>
      </x:c>
      <x:c r="I21" s="6" t="str">
        <x:v>X100:18</x:v>
      </x:c>
      <x:c r="J21" s="6" t="str">
        <x:v>W0020</x:v>
      </x:c>
      <x:c r="K21" s="6" t="str"/>
      <x:c r="L21" s="6" t="str">
        <x:v>-A102</x:v>
      </x:c>
      <x:c r="M21" s="6" t="str">
        <x:v>=FC01+CP01-A102</x:v>
      </x:c>
      <x:c r="N21" s="6" t="str">
        <x:v>13</x:v>
      </x:c>
      <x:c r="O21" s="6" t="str">
        <x:v>I1.5</x:v>
      </x:c>
      <x:c r="P21" s="6" t="str">
        <x:v>24 VDC switched</x:v>
      </x:c>
      <x:c r="Q21" s="6" t="str"/>
      <x:c r="R21" s="6" t="str"/>
      <x:c r="S21" s="6" t="str"/>
      <x:c r="T21" s="6" t="str">
        <x:v>BK</x:v>
      </x:c>
      <x:c r="U21" s="6" t="str">
        <x:v>=FC01+CP01-A102:13</x:v>
      </x:c>
      <x:c r="V21" s="6" t="str">
        <x:v>Controlled Rev-D topology; conductor size/terminal family and native QET continuity verification remain open</x:v>
      </x:c>
    </x:row>
    <x:row r="22" ht="27" customHeight="1">
      <x:c r="A22" s="6" t="str">
        <x:v>GATE_CLOSED_FB</x:v>
      </x:c>
      <x:c r="B22" s="6" t="str">
        <x:v>Sensor/interface supply</x:v>
      </x:c>
      <x:c r="C22" s="6" t="str">
        <x:v>-B121</x:v>
      </x:c>
      <x:c r="D22" s="6" t="str">
        <x:v>=FC01+FLD-B121</x:v>
      </x:c>
      <x:c r="E22" s="6" t="str">
        <x:v>1</x:v>
      </x:c>
      <x:c r="F22" s="6" t="str">
        <x:v>C007</x:v>
      </x:c>
      <x:c r="G22" s="6" t="str">
        <x:v>2</x:v>
      </x:c>
      <x:c r="H22" s="6" t="str">
        <x:v>-B121:1</x:v>
      </x:c>
      <x:c r="I22" s="6" t="str">
        <x:v>X100:19</x:v>
      </x:c>
      <x:c r="J22" s="6" t="str">
        <x:v>W0021</x:v>
      </x:c>
      <x:c r="K22" s="6" t="str"/>
      <x:c r="L22" s="6" t="str">
        <x:v>-A102</x:v>
      </x:c>
      <x:c r="M22" s="6" t="str">
        <x:v>=FC01+CP01-A102</x:v>
      </x:c>
      <x:c r="N22" s="6" t="str">
        <x:v>13</x:v>
      </x:c>
      <x:c r="O22" s="6" t="str">
        <x:v>I1.5</x:v>
      </x:c>
      <x:c r="P22" s="6" t="str">
        <x:v>+24VDC fused</x:v>
      </x:c>
      <x:c r="Q22" s="6" t="str"/>
      <x:c r="R22" s="6" t="str"/>
      <x:c r="S22" s="6" t="str"/>
      <x:c r="T22" s="6" t="str">
        <x:v>BN</x:v>
      </x:c>
      <x:c r="U22" s="6" t="str">
        <x:v>=FC01+CP01-X24:+24V</x:v>
      </x:c>
      <x:c r="V22" s="6" t="str">
        <x:v>Controlled Rev-D topology; conductor size/terminal family and native QET continuity verification remain open</x:v>
      </x:c>
    </x:row>
    <x:row r="23" ht="27" customHeight="1">
      <x:c r="A23" s="6" t="str">
        <x:v>GATE_CLOSED_FB</x:v>
      </x:c>
      <x:c r="B23" s="6" t="str">
        <x:v>Sensor/interface return</x:v>
      </x:c>
      <x:c r="C23" s="6" t="str">
        <x:v>-B121</x:v>
      </x:c>
      <x:c r="D23" s="6" t="str">
        <x:v>=FC01+FLD-B121</x:v>
      </x:c>
      <x:c r="E23" s="6" t="str">
        <x:v>3</x:v>
      </x:c>
      <x:c r="F23" s="6" t="str">
        <x:v>C007</x:v>
      </x:c>
      <x:c r="G23" s="6" t="str">
        <x:v>3</x:v>
      </x:c>
      <x:c r="H23" s="6" t="str">
        <x:v>-B121:3</x:v>
      </x:c>
      <x:c r="I23" s="6" t="str">
        <x:v>X100:20</x:v>
      </x:c>
      <x:c r="J23" s="6" t="str">
        <x:v>W0022</x:v>
      </x:c>
      <x:c r="K23" s="6" t="str"/>
      <x:c r="L23" s="6" t="str">
        <x:v>-A102</x:v>
      </x:c>
      <x:c r="M23" s="6" t="str">
        <x:v>=FC01+CP01-A102</x:v>
      </x:c>
      <x:c r="N23" s="6" t="str">
        <x:v>13</x:v>
      </x:c>
      <x:c r="O23" s="6" t="str">
        <x:v>I1.5</x:v>
      </x:c>
      <x:c r="P23" s="6" t="str">
        <x:v>0V</x:v>
      </x:c>
      <x:c r="Q23" s="6" t="str">
        <x:v>X0:0V</x:v>
      </x:c>
      <x:c r="R23" s="6" t="str"/>
      <x:c r="S23" s="6" t="str"/>
      <x:c r="T23" s="6" t="str">
        <x:v>BU</x:v>
      </x:c>
      <x:c r="U23" s="6" t="str">
        <x:v>=FC01+CP01-X0:0V</x:v>
      </x:c>
      <x:c r="V23" s="6" t="str">
        <x:v>Controlled Rev-D topology; conductor size/terminal family and native QET continuity verification remain open</x:v>
      </x:c>
    </x:row>
    <x:row r="24" ht="27" customHeight="1">
      <x:c r="A24" s="6" t="str">
        <x:v>CLAMP_RELEASED_FB</x:v>
      </x:c>
      <x:c r="B24" s="6" t="str">
        <x:v>PNP signal</x:v>
      </x:c>
      <x:c r="C24" s="6" t="str">
        <x:v>-B122</x:v>
      </x:c>
      <x:c r="D24" s="6" t="str">
        <x:v>=FC01+FLD-B122</x:v>
      </x:c>
      <x:c r="E24" s="6" t="str">
        <x:v>4</x:v>
      </x:c>
      <x:c r="F24" s="6" t="str">
        <x:v>C008</x:v>
      </x:c>
      <x:c r="G24" s="6" t="str">
        <x:v>1</x:v>
      </x:c>
      <x:c r="H24" s="6" t="str">
        <x:v>-B122:4</x:v>
      </x:c>
      <x:c r="I24" s="6" t="str">
        <x:v>X100:21</x:v>
      </x:c>
      <x:c r="J24" s="6" t="str">
        <x:v>W0023</x:v>
      </x:c>
      <x:c r="K24" s="6" t="str"/>
      <x:c r="L24" s="6" t="str">
        <x:v>-A102</x:v>
      </x:c>
      <x:c r="M24" s="6" t="str">
        <x:v>=FC01+CP01-A102</x:v>
      </x:c>
      <x:c r="N24" s="6" t="str">
        <x:v>14</x:v>
      </x:c>
      <x:c r="O24" s="6" t="str">
        <x:v>I1.6</x:v>
      </x:c>
      <x:c r="P24" s="6" t="str">
        <x:v>24 VDC switched</x:v>
      </x:c>
      <x:c r="Q24" s="6" t="str"/>
      <x:c r="R24" s="6" t="str"/>
      <x:c r="S24" s="6" t="str"/>
      <x:c r="T24" s="6" t="str">
        <x:v>BK</x:v>
      </x:c>
      <x:c r="U24" s="6" t="str">
        <x:v>=FC01+CP01-A102:14</x:v>
      </x:c>
      <x:c r="V24" s="6" t="str">
        <x:v>Controlled Rev-D topology; conductor size/terminal family and native QET continuity verification remain open</x:v>
      </x:c>
    </x:row>
    <x:row r="25" ht="27" customHeight="1">
      <x:c r="A25" s="6" t="str">
        <x:v>CLAMP_RELEASED_FB</x:v>
      </x:c>
      <x:c r="B25" s="6" t="str">
        <x:v>Sensor/interface supply</x:v>
      </x:c>
      <x:c r="C25" s="6" t="str">
        <x:v>-B122</x:v>
      </x:c>
      <x:c r="D25" s="6" t="str">
        <x:v>=FC01+FLD-B122</x:v>
      </x:c>
      <x:c r="E25" s="6" t="str">
        <x:v>1</x:v>
      </x:c>
      <x:c r="F25" s="6" t="str">
        <x:v>C008</x:v>
      </x:c>
      <x:c r="G25" s="6" t="str">
        <x:v>2</x:v>
      </x:c>
      <x:c r="H25" s="6" t="str">
        <x:v>-B122:1</x:v>
      </x:c>
      <x:c r="I25" s="6" t="str">
        <x:v>X100:22</x:v>
      </x:c>
      <x:c r="J25" s="6" t="str">
        <x:v>W0024</x:v>
      </x:c>
      <x:c r="K25" s="6" t="str"/>
      <x:c r="L25" s="6" t="str">
        <x:v>-A102</x:v>
      </x:c>
      <x:c r="M25" s="6" t="str">
        <x:v>=FC01+CP01-A102</x:v>
      </x:c>
      <x:c r="N25" s="6" t="str">
        <x:v>14</x:v>
      </x:c>
      <x:c r="O25" s="6" t="str">
        <x:v>I1.6</x:v>
      </x:c>
      <x:c r="P25" s="6" t="str">
        <x:v>+24VDC fused</x:v>
      </x:c>
      <x:c r="Q25" s="6" t="str"/>
      <x:c r="R25" s="6" t="str"/>
      <x:c r="S25" s="6" t="str"/>
      <x:c r="T25" s="6" t="str">
        <x:v>BN</x:v>
      </x:c>
      <x:c r="U25" s="6" t="str">
        <x:v>=FC01+CP01-X24:+24V</x:v>
      </x:c>
      <x:c r="V25" s="6" t="str">
        <x:v>Controlled Rev-D topology; conductor size/terminal family and native QET continuity verification remain open</x:v>
      </x:c>
    </x:row>
    <x:row r="26" ht="27" customHeight="1">
      <x:c r="A26" s="6" t="str">
        <x:v>CLAMP_RELEASED_FB</x:v>
      </x:c>
      <x:c r="B26" s="6" t="str">
        <x:v>Sensor/interface return</x:v>
      </x:c>
      <x:c r="C26" s="6" t="str">
        <x:v>-B122</x:v>
      </x:c>
      <x:c r="D26" s="6" t="str">
        <x:v>=FC01+FLD-B122</x:v>
      </x:c>
      <x:c r="E26" s="6" t="str">
        <x:v>3</x:v>
      </x:c>
      <x:c r="F26" s="6" t="str">
        <x:v>C008</x:v>
      </x:c>
      <x:c r="G26" s="6" t="str">
        <x:v>3</x:v>
      </x:c>
      <x:c r="H26" s="6" t="str">
        <x:v>-B122:3</x:v>
      </x:c>
      <x:c r="I26" s="6" t="str">
        <x:v>X100:23</x:v>
      </x:c>
      <x:c r="J26" s="6" t="str">
        <x:v>W0025</x:v>
      </x:c>
      <x:c r="K26" s="6" t="str"/>
      <x:c r="L26" s="6" t="str">
        <x:v>-A102</x:v>
      </x:c>
      <x:c r="M26" s="6" t="str">
        <x:v>=FC01+CP01-A102</x:v>
      </x:c>
      <x:c r="N26" s="6" t="str">
        <x:v>14</x:v>
      </x:c>
      <x:c r="O26" s="6" t="str">
        <x:v>I1.6</x:v>
      </x:c>
      <x:c r="P26" s="6" t="str">
        <x:v>0V</x:v>
      </x:c>
      <x:c r="Q26" s="6" t="str">
        <x:v>X0:0V</x:v>
      </x:c>
      <x:c r="R26" s="6" t="str"/>
      <x:c r="S26" s="6" t="str"/>
      <x:c r="T26" s="6" t="str">
        <x:v>BU</x:v>
      </x:c>
      <x:c r="U26" s="6" t="str">
        <x:v>=FC01+CP01-X0:0V</x:v>
      </x:c>
      <x:c r="V26" s="6" t="str">
        <x:v>Controlled Rev-D topology; conductor size/terminal family and native QET continuity verification remain open</x:v>
      </x:c>
    </x:row>
    <x:row r="27" ht="27" customHeight="1">
      <x:c r="A27" s="6" t="str">
        <x:v>CLAMP_ENGAGED_FB</x:v>
      </x:c>
      <x:c r="B27" s="6" t="str">
        <x:v>PNP signal</x:v>
      </x:c>
      <x:c r="C27" s="6" t="str">
        <x:v>-B123</x:v>
      </x:c>
      <x:c r="D27" s="6" t="str">
        <x:v>=FC01+FLD-B123</x:v>
      </x:c>
      <x:c r="E27" s="6" t="str">
        <x:v>4</x:v>
      </x:c>
      <x:c r="F27" s="6" t="str">
        <x:v>C009</x:v>
      </x:c>
      <x:c r="G27" s="6" t="str">
        <x:v>1</x:v>
      </x:c>
      <x:c r="H27" s="6" t="str">
        <x:v>-B123:4</x:v>
      </x:c>
      <x:c r="I27" s="6" t="str">
        <x:v>X100:24</x:v>
      </x:c>
      <x:c r="J27" s="6" t="str">
        <x:v>W0026</x:v>
      </x:c>
      <x:c r="K27" s="6" t="str"/>
      <x:c r="L27" s="6" t="str">
        <x:v>-A102</x:v>
      </x:c>
      <x:c r="M27" s="6" t="str">
        <x:v>=FC01+CP01-A102</x:v>
      </x:c>
      <x:c r="N27" s="6" t="str">
        <x:v>15</x:v>
      </x:c>
      <x:c r="O27" s="6" t="str">
        <x:v>I1.7</x:v>
      </x:c>
      <x:c r="P27" s="6" t="str">
        <x:v>24 VDC switched</x:v>
      </x:c>
      <x:c r="Q27" s="6" t="str"/>
      <x:c r="R27" s="6" t="str"/>
      <x:c r="S27" s="6" t="str"/>
      <x:c r="T27" s="6" t="str">
        <x:v>BK</x:v>
      </x:c>
      <x:c r="U27" s="6" t="str">
        <x:v>=FC01+CP01-A102:15</x:v>
      </x:c>
      <x:c r="V27" s="6" t="str">
        <x:v>Controlled Rev-D topology; conductor size/terminal family and native QET continuity verification remain open</x:v>
      </x:c>
    </x:row>
    <x:row r="28" ht="27" customHeight="1">
      <x:c r="A28" s="6" t="str">
        <x:v>CLAMP_ENGAGED_FB</x:v>
      </x:c>
      <x:c r="B28" s="6" t="str">
        <x:v>Sensor/interface supply</x:v>
      </x:c>
      <x:c r="C28" s="6" t="str">
        <x:v>-B123</x:v>
      </x:c>
      <x:c r="D28" s="6" t="str">
        <x:v>=FC01+FLD-B123</x:v>
      </x:c>
      <x:c r="E28" s="6" t="str">
        <x:v>1</x:v>
      </x:c>
      <x:c r="F28" s="6" t="str">
        <x:v>C009</x:v>
      </x:c>
      <x:c r="G28" s="6" t="str">
        <x:v>2</x:v>
      </x:c>
      <x:c r="H28" s="6" t="str">
        <x:v>-B123:1</x:v>
      </x:c>
      <x:c r="I28" s="6" t="str">
        <x:v>X101:1</x:v>
      </x:c>
      <x:c r="J28" s="6" t="str">
        <x:v>W0027</x:v>
      </x:c>
      <x:c r="K28" s="6" t="str"/>
      <x:c r="L28" s="6" t="str">
        <x:v>-A102</x:v>
      </x:c>
      <x:c r="M28" s="6" t="str">
        <x:v>=FC01+CP01-A102</x:v>
      </x:c>
      <x:c r="N28" s="6" t="str">
        <x:v>15</x:v>
      </x:c>
      <x:c r="O28" s="6" t="str">
        <x:v>I1.7</x:v>
      </x:c>
      <x:c r="P28" s="6" t="str">
        <x:v>+24VDC fused</x:v>
      </x:c>
      <x:c r="Q28" s="6" t="str"/>
      <x:c r="R28" s="6" t="str"/>
      <x:c r="S28" s="6" t="str"/>
      <x:c r="T28" s="6" t="str">
        <x:v>BN</x:v>
      </x:c>
      <x:c r="U28" s="6" t="str">
        <x:v>=FC01+CP01-X24:+24V</x:v>
      </x:c>
      <x:c r="V28" s="6" t="str">
        <x:v>Controlled Rev-D topology; conductor size/terminal family and native QET continuity verification remain open</x:v>
      </x:c>
    </x:row>
    <x:row r="29" ht="27" customHeight="1">
      <x:c r="A29" s="6" t="str">
        <x:v>CLAMP_ENGAGED_FB</x:v>
      </x:c>
      <x:c r="B29" s="6" t="str">
        <x:v>Sensor/interface return</x:v>
      </x:c>
      <x:c r="C29" s="6" t="str">
        <x:v>-B123</x:v>
      </x:c>
      <x:c r="D29" s="6" t="str">
        <x:v>=FC01+FLD-B123</x:v>
      </x:c>
      <x:c r="E29" s="6" t="str">
        <x:v>3</x:v>
      </x:c>
      <x:c r="F29" s="6" t="str">
        <x:v>C009</x:v>
      </x:c>
      <x:c r="G29" s="6" t="str">
        <x:v>3</x:v>
      </x:c>
      <x:c r="H29" s="6" t="str">
        <x:v>-B123:3</x:v>
      </x:c>
      <x:c r="I29" s="6" t="str">
        <x:v>X101:2</x:v>
      </x:c>
      <x:c r="J29" s="6" t="str">
        <x:v>W0028</x:v>
      </x:c>
      <x:c r="K29" s="6" t="str"/>
      <x:c r="L29" s="6" t="str">
        <x:v>-A102</x:v>
      </x:c>
      <x:c r="M29" s="6" t="str">
        <x:v>=FC01+CP01-A102</x:v>
      </x:c>
      <x:c r="N29" s="6" t="str">
        <x:v>15</x:v>
      </x:c>
      <x:c r="O29" s="6" t="str">
        <x:v>I1.7</x:v>
      </x:c>
      <x:c r="P29" s="6" t="str">
        <x:v>0V</x:v>
      </x:c>
      <x:c r="Q29" s="6" t="str">
        <x:v>X0:0V</x:v>
      </x:c>
      <x:c r="R29" s="6" t="str"/>
      <x:c r="S29" s="6" t="str"/>
      <x:c r="T29" s="6" t="str">
        <x:v>BU</x:v>
      </x:c>
      <x:c r="U29" s="6" t="str">
        <x:v>=FC01+CP01-X0:0V</x:v>
      </x:c>
      <x:c r="V29" s="6" t="str">
        <x:v>Controlled Rev-D topology; conductor size/terminal family and native QET continuity verification remain open</x:v>
      </x:c>
    </x:row>
    <x:row r="30" ht="27" customHeight="1">
      <x:c r="A30" s="6" t="str">
        <x:v>FILL_VALVE_1_CLOSED_FB</x:v>
      </x:c>
      <x:c r="B30" s="6" t="str">
        <x:v>PNP signal</x:v>
      </x:c>
      <x:c r="C30" s="6" t="str">
        <x:v>-B130</x:v>
      </x:c>
      <x:c r="D30" s="6" t="str">
        <x:v>=FC01+FLD-B130</x:v>
      </x:c>
      <x:c r="E30" s="6" t="str">
        <x:v>4</x:v>
      </x:c>
      <x:c r="F30" s="6" t="str">
        <x:v>C010</x:v>
      </x:c>
      <x:c r="G30" s="6" t="str">
        <x:v>1</x:v>
      </x:c>
      <x:c r="H30" s="6" t="str">
        <x:v>-B130:4</x:v>
      </x:c>
      <x:c r="I30" s="6" t="str">
        <x:v>X101:3</x:v>
      </x:c>
      <x:c r="J30" s="6" t="str">
        <x:v>W0029</x:v>
      </x:c>
      <x:c r="K30" s="6" t="str"/>
      <x:c r="L30" s="6" t="str">
        <x:v>-A102</x:v>
      </x:c>
      <x:c r="M30" s="6" t="str">
        <x:v>=FC01+CP01-A102</x:v>
      </x:c>
      <x:c r="N30" s="6" t="str">
        <x:v>16</x:v>
      </x:c>
      <x:c r="O30" s="6" t="str">
        <x:v>I2.0</x:v>
      </x:c>
      <x:c r="P30" s="6" t="str">
        <x:v>24 VDC switched</x:v>
      </x:c>
      <x:c r="Q30" s="6" t="str"/>
      <x:c r="R30" s="6" t="str"/>
      <x:c r="S30" s="6" t="str"/>
      <x:c r="T30" s="6" t="str">
        <x:v>BK</x:v>
      </x:c>
      <x:c r="U30" s="6" t="str">
        <x:v>=FC01+CP01-A102:16</x:v>
      </x:c>
      <x:c r="V30" s="6" t="str">
        <x:v>Controlled Rev-D topology; conductor size/terminal family and native QET continuity verification remain open</x:v>
      </x:c>
    </x:row>
    <x:row r="31" ht="27" customHeight="1">
      <x:c r="A31" s="6" t="str">
        <x:v>FILL_VALVE_1_CLOSED_FB</x:v>
      </x:c>
      <x:c r="B31" s="6" t="str">
        <x:v>Sensor/interface supply</x:v>
      </x:c>
      <x:c r="C31" s="6" t="str">
        <x:v>-B130</x:v>
      </x:c>
      <x:c r="D31" s="6" t="str">
        <x:v>=FC01+FLD-B130</x:v>
      </x:c>
      <x:c r="E31" s="6" t="str">
        <x:v>1</x:v>
      </x:c>
      <x:c r="F31" s="6" t="str">
        <x:v>C010</x:v>
      </x:c>
      <x:c r="G31" s="6" t="str">
        <x:v>2</x:v>
      </x:c>
      <x:c r="H31" s="6" t="str">
        <x:v>-B130:1</x:v>
      </x:c>
      <x:c r="I31" s="6" t="str">
        <x:v>X101:4</x:v>
      </x:c>
      <x:c r="J31" s="6" t="str">
        <x:v>W0030</x:v>
      </x:c>
      <x:c r="K31" s="6" t="str"/>
      <x:c r="L31" s="6" t="str">
        <x:v>-A102</x:v>
      </x:c>
      <x:c r="M31" s="6" t="str">
        <x:v>=FC01+CP01-A102</x:v>
      </x:c>
      <x:c r="N31" s="6" t="str">
        <x:v>16</x:v>
      </x:c>
      <x:c r="O31" s="6" t="str">
        <x:v>I2.0</x:v>
      </x:c>
      <x:c r="P31" s="6" t="str">
        <x:v>+24VDC fused</x:v>
      </x:c>
      <x:c r="Q31" s="6" t="str"/>
      <x:c r="R31" s="6" t="str"/>
      <x:c r="S31" s="6" t="str"/>
      <x:c r="T31" s="6" t="str">
        <x:v>BN</x:v>
      </x:c>
      <x:c r="U31" s="6" t="str">
        <x:v>=FC01+CP01-X24:+24V</x:v>
      </x:c>
      <x:c r="V31" s="6" t="str">
        <x:v>Controlled Rev-D topology; conductor size/terminal family and native QET continuity verification remain open</x:v>
      </x:c>
    </x:row>
    <x:row r="32" ht="27" customHeight="1">
      <x:c r="A32" s="6" t="str">
        <x:v>FILL_VALVE_1_CLOSED_FB</x:v>
      </x:c>
      <x:c r="B32" s="6" t="str">
        <x:v>Sensor/interface return</x:v>
      </x:c>
      <x:c r="C32" s="6" t="str">
        <x:v>-B130</x:v>
      </x:c>
      <x:c r="D32" s="6" t="str">
        <x:v>=FC01+FLD-B130</x:v>
      </x:c>
      <x:c r="E32" s="6" t="str">
        <x:v>3</x:v>
      </x:c>
      <x:c r="F32" s="6" t="str">
        <x:v>C010</x:v>
      </x:c>
      <x:c r="G32" s="6" t="str">
        <x:v>3</x:v>
      </x:c>
      <x:c r="H32" s="6" t="str">
        <x:v>-B130:3</x:v>
      </x:c>
      <x:c r="I32" s="6" t="str">
        <x:v>X101:5</x:v>
      </x:c>
      <x:c r="J32" s="6" t="str">
        <x:v>W0031</x:v>
      </x:c>
      <x:c r="K32" s="6" t="str"/>
      <x:c r="L32" s="6" t="str">
        <x:v>-A102</x:v>
      </x:c>
      <x:c r="M32" s="6" t="str">
        <x:v>=FC01+CP01-A102</x:v>
      </x:c>
      <x:c r="N32" s="6" t="str">
        <x:v>16</x:v>
      </x:c>
      <x:c r="O32" s="6" t="str">
        <x:v>I2.0</x:v>
      </x:c>
      <x:c r="P32" s="6" t="str">
        <x:v>0V</x:v>
      </x:c>
      <x:c r="Q32" s="6" t="str">
        <x:v>X0:0V</x:v>
      </x:c>
      <x:c r="R32" s="6" t="str"/>
      <x:c r="S32" s="6" t="str"/>
      <x:c r="T32" s="6" t="str">
        <x:v>BU</x:v>
      </x:c>
      <x:c r="U32" s="6" t="str">
        <x:v>=FC01+CP01-X0:0V</x:v>
      </x:c>
      <x:c r="V32" s="6" t="str">
        <x:v>Controlled Rev-D topology; conductor size/terminal family and native QET continuity verification remain open</x:v>
      </x:c>
    </x:row>
    <x:row r="33" ht="27" customHeight="1">
      <x:c r="A33" s="6" t="str">
        <x:v>FILL_VALVE_2_CLOSED_FB</x:v>
      </x:c>
      <x:c r="B33" s="6" t="str">
        <x:v>PNP signal</x:v>
      </x:c>
      <x:c r="C33" s="6" t="str">
        <x:v>-B131</x:v>
      </x:c>
      <x:c r="D33" s="6" t="str">
        <x:v>=FC01+FLD-B131</x:v>
      </x:c>
      <x:c r="E33" s="6" t="str">
        <x:v>4</x:v>
      </x:c>
      <x:c r="F33" s="6" t="str">
        <x:v>C011</x:v>
      </x:c>
      <x:c r="G33" s="6" t="str">
        <x:v>1</x:v>
      </x:c>
      <x:c r="H33" s="6" t="str">
        <x:v>-B131:4</x:v>
      </x:c>
      <x:c r="I33" s="6" t="str">
        <x:v>X101:6</x:v>
      </x:c>
      <x:c r="J33" s="6" t="str">
        <x:v>W0032</x:v>
      </x:c>
      <x:c r="K33" s="6" t="str"/>
      <x:c r="L33" s="6" t="str">
        <x:v>-A102</x:v>
      </x:c>
      <x:c r="M33" s="6" t="str">
        <x:v>=FC01+CP01-A102</x:v>
      </x:c>
      <x:c r="N33" s="6" t="str">
        <x:v>17</x:v>
      </x:c>
      <x:c r="O33" s="6" t="str">
        <x:v>I2.1</x:v>
      </x:c>
      <x:c r="P33" s="6" t="str">
        <x:v>24 VDC switched</x:v>
      </x:c>
      <x:c r="Q33" s="6" t="str"/>
      <x:c r="R33" s="6" t="str"/>
      <x:c r="S33" s="6" t="str"/>
      <x:c r="T33" s="6" t="str">
        <x:v>BK</x:v>
      </x:c>
      <x:c r="U33" s="6" t="str">
        <x:v>=FC01+CP01-A102:17</x:v>
      </x:c>
      <x:c r="V33" s="6" t="str">
        <x:v>Controlled Rev-D topology; conductor size/terminal family and native QET continuity verification remain open</x:v>
      </x:c>
    </x:row>
    <x:row r="34" ht="27" customHeight="1">
      <x:c r="A34" s="6" t="str">
        <x:v>FILL_VALVE_2_CLOSED_FB</x:v>
      </x:c>
      <x:c r="B34" s="6" t="str">
        <x:v>Sensor/interface supply</x:v>
      </x:c>
      <x:c r="C34" s="6" t="str">
        <x:v>-B131</x:v>
      </x:c>
      <x:c r="D34" s="6" t="str">
        <x:v>=FC01+FLD-B131</x:v>
      </x:c>
      <x:c r="E34" s="6" t="str">
        <x:v>1</x:v>
      </x:c>
      <x:c r="F34" s="6" t="str">
        <x:v>C011</x:v>
      </x:c>
      <x:c r="G34" s="6" t="str">
        <x:v>2</x:v>
      </x:c>
      <x:c r="H34" s="6" t="str">
        <x:v>-B131:1</x:v>
      </x:c>
      <x:c r="I34" s="6" t="str">
        <x:v>X101:7</x:v>
      </x:c>
      <x:c r="J34" s="6" t="str">
        <x:v>W0033</x:v>
      </x:c>
      <x:c r="K34" s="6" t="str"/>
      <x:c r="L34" s="6" t="str">
        <x:v>-A102</x:v>
      </x:c>
      <x:c r="M34" s="6" t="str">
        <x:v>=FC01+CP01-A102</x:v>
      </x:c>
      <x:c r="N34" s="6" t="str">
        <x:v>17</x:v>
      </x:c>
      <x:c r="O34" s="6" t="str">
        <x:v>I2.1</x:v>
      </x:c>
      <x:c r="P34" s="6" t="str">
        <x:v>+24VDC fused</x:v>
      </x:c>
      <x:c r="Q34" s="6" t="str"/>
      <x:c r="R34" s="6" t="str"/>
      <x:c r="S34" s="6" t="str"/>
      <x:c r="T34" s="6" t="str">
        <x:v>BN</x:v>
      </x:c>
      <x:c r="U34" s="6" t="str">
        <x:v>=FC01+CP01-X24:+24V</x:v>
      </x:c>
      <x:c r="V34" s="6" t="str">
        <x:v>Controlled Rev-D topology; conductor size/terminal family and native QET continuity verification remain open</x:v>
      </x:c>
    </x:row>
    <x:row r="35" ht="27" customHeight="1">
      <x:c r="A35" s="6" t="str">
        <x:v>FILL_VALVE_2_CLOSED_FB</x:v>
      </x:c>
      <x:c r="B35" s="6" t="str">
        <x:v>Sensor/interface return</x:v>
      </x:c>
      <x:c r="C35" s="6" t="str">
        <x:v>-B131</x:v>
      </x:c>
      <x:c r="D35" s="6" t="str">
        <x:v>=FC01+FLD-B131</x:v>
      </x:c>
      <x:c r="E35" s="6" t="str">
        <x:v>3</x:v>
      </x:c>
      <x:c r="F35" s="6" t="str">
        <x:v>C011</x:v>
      </x:c>
      <x:c r="G35" s="6" t="str">
        <x:v>3</x:v>
      </x:c>
      <x:c r="H35" s="6" t="str">
        <x:v>-B131:3</x:v>
      </x:c>
      <x:c r="I35" s="6" t="str">
        <x:v>X101:8</x:v>
      </x:c>
      <x:c r="J35" s="6" t="str">
        <x:v>W0034</x:v>
      </x:c>
      <x:c r="K35" s="6" t="str"/>
      <x:c r="L35" s="6" t="str">
        <x:v>-A102</x:v>
      </x:c>
      <x:c r="M35" s="6" t="str">
        <x:v>=FC01+CP01-A102</x:v>
      </x:c>
      <x:c r="N35" s="6" t="str">
        <x:v>17</x:v>
      </x:c>
      <x:c r="O35" s="6" t="str">
        <x:v>I2.1</x:v>
      </x:c>
      <x:c r="P35" s="6" t="str">
        <x:v>0V</x:v>
      </x:c>
      <x:c r="Q35" s="6" t="str">
        <x:v>X0:0V</x:v>
      </x:c>
      <x:c r="R35" s="6" t="str"/>
      <x:c r="S35" s="6" t="str"/>
      <x:c r="T35" s="6" t="str">
        <x:v>BU</x:v>
      </x:c>
      <x:c r="U35" s="6" t="str">
        <x:v>=FC01+CP01-X0:0V</x:v>
      </x:c>
      <x:c r="V35" s="6" t="str">
        <x:v>Controlled Rev-D topology; conductor size/terminal family and native QET continuity verification remain open</x:v>
      </x:c>
    </x:row>
    <x:row r="36" ht="27" customHeight="1">
      <x:c r="A36" s="6" t="str">
        <x:v>CAPPER_READY</x:v>
      </x:c>
      <x:c r="B36" s="6" t="str">
        <x:v>PNP signal</x:v>
      </x:c>
      <x:c r="C36" s="6" t="str">
        <x:v>-IF140</x:v>
      </x:c>
      <x:c r="D36" s="6" t="str">
        <x:v>=FC01+FLD-IF140</x:v>
      </x:c>
      <x:c r="E36" s="6" t="str">
        <x:v>4</x:v>
      </x:c>
      <x:c r="F36" s="6" t="str">
        <x:v>C012</x:v>
      </x:c>
      <x:c r="G36" s="6" t="str">
        <x:v>1</x:v>
      </x:c>
      <x:c r="H36" s="6" t="str">
        <x:v>-IF140:4</x:v>
      </x:c>
      <x:c r="I36" s="6" t="str">
        <x:v>X101:9</x:v>
      </x:c>
      <x:c r="J36" s="6" t="str">
        <x:v>W0035</x:v>
      </x:c>
      <x:c r="K36" s="6" t="str"/>
      <x:c r="L36" s="6" t="str">
        <x:v>-A102</x:v>
      </x:c>
      <x:c r="M36" s="6" t="str">
        <x:v>=FC01+CP01-A102</x:v>
      </x:c>
      <x:c r="N36" s="6" t="str">
        <x:v>18</x:v>
      </x:c>
      <x:c r="O36" s="6" t="str">
        <x:v>I2.2</x:v>
      </x:c>
      <x:c r="P36" s="6" t="str">
        <x:v>24 VDC switched</x:v>
      </x:c>
      <x:c r="Q36" s="6" t="str"/>
      <x:c r="R36" s="6" t="str"/>
      <x:c r="S36" s="6" t="str"/>
      <x:c r="T36" s="6" t="str">
        <x:v>BK</x:v>
      </x:c>
      <x:c r="U36" s="6" t="str">
        <x:v>=FC01+CP01-A102:18</x:v>
      </x:c>
      <x:c r="V36" s="6" t="str">
        <x:v>Controlled Rev-D topology; conductor size/terminal family and native QET continuity verification remain open</x:v>
      </x:c>
    </x:row>
    <x:row r="37" ht="27" customHeight="1">
      <x:c r="A37" s="6" t="str">
        <x:v>CAPPER_READY</x:v>
      </x:c>
      <x:c r="B37" s="6" t="str">
        <x:v>Sensor/interface supply</x:v>
      </x:c>
      <x:c r="C37" s="6" t="str">
        <x:v>-IF140</x:v>
      </x:c>
      <x:c r="D37" s="6" t="str">
        <x:v>=FC01+FLD-IF140</x:v>
      </x:c>
      <x:c r="E37" s="6" t="str">
        <x:v>1</x:v>
      </x:c>
      <x:c r="F37" s="6" t="str">
        <x:v>C012</x:v>
      </x:c>
      <x:c r="G37" s="6" t="str">
        <x:v>2</x:v>
      </x:c>
      <x:c r="H37" s="6" t="str">
        <x:v>-IF140:1</x:v>
      </x:c>
      <x:c r="I37" s="6" t="str">
        <x:v>X101:10</x:v>
      </x:c>
      <x:c r="J37" s="6" t="str">
        <x:v>W0036</x:v>
      </x:c>
      <x:c r="K37" s="6" t="str"/>
      <x:c r="L37" s="6" t="str">
        <x:v>-A102</x:v>
      </x:c>
      <x:c r="M37" s="6" t="str">
        <x:v>=FC01+CP01-A102</x:v>
      </x:c>
      <x:c r="N37" s="6" t="str">
        <x:v>18</x:v>
      </x:c>
      <x:c r="O37" s="6" t="str">
        <x:v>I2.2</x:v>
      </x:c>
      <x:c r="P37" s="6" t="str">
        <x:v>+24VDC fused</x:v>
      </x:c>
      <x:c r="Q37" s="6" t="str"/>
      <x:c r="R37" s="6" t="str"/>
      <x:c r="S37" s="6" t="str"/>
      <x:c r="T37" s="6" t="str">
        <x:v>BN</x:v>
      </x:c>
      <x:c r="U37" s="6" t="str">
        <x:v>=FC01+CP01-X24:+24V</x:v>
      </x:c>
      <x:c r="V37" s="6" t="str">
        <x:v>Controlled Rev-D topology; conductor size/terminal family and native QET continuity verification remain open</x:v>
      </x:c>
    </x:row>
    <x:row r="38" ht="27" customHeight="1">
      <x:c r="A38" s="6" t="str">
        <x:v>CAPPER_READY</x:v>
      </x:c>
      <x:c r="B38" s="6" t="str">
        <x:v>Sensor/interface return</x:v>
      </x:c>
      <x:c r="C38" s="6" t="str">
        <x:v>-IF140</x:v>
      </x:c>
      <x:c r="D38" s="6" t="str">
        <x:v>=FC01+FLD-IF140</x:v>
      </x:c>
      <x:c r="E38" s="6" t="str">
        <x:v>2</x:v>
      </x:c>
      <x:c r="F38" s="6" t="str">
        <x:v>C012</x:v>
      </x:c>
      <x:c r="G38" s="6" t="str">
        <x:v>3</x:v>
      </x:c>
      <x:c r="H38" s="6" t="str">
        <x:v>-IF140:2</x:v>
      </x:c>
      <x:c r="I38" s="6" t="str">
        <x:v>X101:11</x:v>
      </x:c>
      <x:c r="J38" s="6" t="str">
        <x:v>W0037</x:v>
      </x:c>
      <x:c r="K38" s="6" t="str"/>
      <x:c r="L38" s="6" t="str">
        <x:v>-A102</x:v>
      </x:c>
      <x:c r="M38" s="6" t="str">
        <x:v>=FC01+CP01-A102</x:v>
      </x:c>
      <x:c r="N38" s="6" t="str">
        <x:v>18</x:v>
      </x:c>
      <x:c r="O38" s="6" t="str">
        <x:v>I2.2</x:v>
      </x:c>
      <x:c r="P38" s="6" t="str">
        <x:v>0V</x:v>
      </x:c>
      <x:c r="Q38" s="6" t="str">
        <x:v>X0:0V</x:v>
      </x:c>
      <x:c r="R38" s="6" t="str"/>
      <x:c r="S38" s="6" t="str"/>
      <x:c r="T38" s="6" t="str">
        <x:v>BU</x:v>
      </x:c>
      <x:c r="U38" s="6" t="str">
        <x:v>=FC01+CP01-X0:0V</x:v>
      </x:c>
      <x:c r="V38" s="6" t="str">
        <x:v>Controlled Rev-D topology; conductor size/terminal family and native QET continuity verification remain open</x:v>
      </x:c>
    </x:row>
    <x:row r="39" ht="27" customHeight="1">
      <x:c r="A39" s="6" t="str">
        <x:v>CAPPER_BUSY</x:v>
      </x:c>
      <x:c r="B39" s="6" t="str">
        <x:v>PNP signal</x:v>
      </x:c>
      <x:c r="C39" s="6" t="str">
        <x:v>-IF140</x:v>
      </x:c>
      <x:c r="D39" s="6" t="str">
        <x:v>=FC01+FLD-IF140</x:v>
      </x:c>
      <x:c r="E39" s="6" t="str">
        <x:v>5</x:v>
      </x:c>
      <x:c r="F39" s="6" t="str">
        <x:v>C012</x:v>
      </x:c>
      <x:c r="G39" s="6" t="str">
        <x:v>4</x:v>
      </x:c>
      <x:c r="H39" s="6" t="str">
        <x:v>-IF140:5</x:v>
      </x:c>
      <x:c r="I39" s="6" t="str">
        <x:v>X101:12</x:v>
      </x:c>
      <x:c r="J39" s="6" t="str">
        <x:v>W0038</x:v>
      </x:c>
      <x:c r="K39" s="6" t="str"/>
      <x:c r="L39" s="6" t="str">
        <x:v>-A102</x:v>
      </x:c>
      <x:c r="M39" s="6" t="str">
        <x:v>=FC01+CP01-A102</x:v>
      </x:c>
      <x:c r="N39" s="6" t="str">
        <x:v>19</x:v>
      </x:c>
      <x:c r="O39" s="6" t="str">
        <x:v>I2.3</x:v>
      </x:c>
      <x:c r="P39" s="6" t="str">
        <x:v>24 VDC switched</x:v>
      </x:c>
      <x:c r="Q39" s="6" t="str"/>
      <x:c r="R39" s="6" t="str"/>
      <x:c r="S39" s="6" t="str"/>
      <x:c r="T39" s="6" t="str">
        <x:v>BK</x:v>
      </x:c>
      <x:c r="U39" s="6" t="str">
        <x:v>=FC01+CP01-A102:19</x:v>
      </x:c>
      <x:c r="V39" s="6" t="str">
        <x:v>Controlled Rev-D topology; conductor size/terminal family and native QET continuity verification remain open</x:v>
      </x:c>
    </x:row>
    <x:row r="40" ht="27" customHeight="1">
      <x:c r="A40" s="6" t="str">
        <x:v>CAPPER_COMPLETE</x:v>
      </x:c>
      <x:c r="B40" s="6" t="str">
        <x:v>PNP signal</x:v>
      </x:c>
      <x:c r="C40" s="6" t="str">
        <x:v>-IF140</x:v>
      </x:c>
      <x:c r="D40" s="6" t="str">
        <x:v>=FC01+FLD-IF140</x:v>
      </x:c>
      <x:c r="E40" s="6" t="str">
        <x:v>6</x:v>
      </x:c>
      <x:c r="F40" s="6" t="str">
        <x:v>C012</x:v>
      </x:c>
      <x:c r="G40" s="6" t="str">
        <x:v>5</x:v>
      </x:c>
      <x:c r="H40" s="6" t="str">
        <x:v>-IF140:6</x:v>
      </x:c>
      <x:c r="I40" s="6" t="str">
        <x:v>X101:13</x:v>
      </x:c>
      <x:c r="J40" s="6" t="str">
        <x:v>W0039</x:v>
      </x:c>
      <x:c r="K40" s="6" t="str"/>
      <x:c r="L40" s="6" t="str">
        <x:v>-A102</x:v>
      </x:c>
      <x:c r="M40" s="6" t="str">
        <x:v>=FC01+CP01-A102</x:v>
      </x:c>
      <x:c r="N40" s="6" t="str">
        <x:v>20</x:v>
      </x:c>
      <x:c r="O40" s="6" t="str">
        <x:v>I2.4</x:v>
      </x:c>
      <x:c r="P40" s="6" t="str">
        <x:v>24 VDC switched</x:v>
      </x:c>
      <x:c r="Q40" s="6" t="str"/>
      <x:c r="R40" s="6" t="str"/>
      <x:c r="S40" s="6" t="str"/>
      <x:c r="T40" s="6" t="str">
        <x:v>BK</x:v>
      </x:c>
      <x:c r="U40" s="6" t="str">
        <x:v>=FC01+CP01-A102:20</x:v>
      </x:c>
      <x:c r="V40" s="6" t="str">
        <x:v>Controlled Rev-D topology; conductor size/terminal family and native QET continuity verification remain open</x:v>
      </x:c>
    </x:row>
    <x:row r="41" ht="27" customHeight="1">
      <x:c r="A41" s="6" t="str">
        <x:v>CAPPER_FAULT</x:v>
      </x:c>
      <x:c r="B41" s="6" t="str">
        <x:v>PNP signal</x:v>
      </x:c>
      <x:c r="C41" s="6" t="str">
        <x:v>-IF140</x:v>
      </x:c>
      <x:c r="D41" s="6" t="str">
        <x:v>=FC01+FLD-IF140</x:v>
      </x:c>
      <x:c r="E41" s="6" t="str">
        <x:v>7</x:v>
      </x:c>
      <x:c r="F41" s="6" t="str">
        <x:v>C012</x:v>
      </x:c>
      <x:c r="G41" s="6" t="str">
        <x:v>6</x:v>
      </x:c>
      <x:c r="H41" s="6" t="str">
        <x:v>-IF140:7</x:v>
      </x:c>
      <x:c r="I41" s="6" t="str">
        <x:v>X101:14</x:v>
      </x:c>
      <x:c r="J41" s="6" t="str">
        <x:v>W0040</x:v>
      </x:c>
      <x:c r="K41" s="6" t="str"/>
      <x:c r="L41" s="6" t="str">
        <x:v>-A102</x:v>
      </x:c>
      <x:c r="M41" s="6" t="str">
        <x:v>=FC01+CP01-A102</x:v>
      </x:c>
      <x:c r="N41" s="6" t="str">
        <x:v>21</x:v>
      </x:c>
      <x:c r="O41" s="6" t="str">
        <x:v>I2.5</x:v>
      </x:c>
      <x:c r="P41" s="6" t="str">
        <x:v>24 VDC switched</x:v>
      </x:c>
      <x:c r="Q41" s="6" t="str"/>
      <x:c r="R41" s="6" t="str"/>
      <x:c r="S41" s="6" t="str"/>
      <x:c r="T41" s="6" t="str">
        <x:v>BK</x:v>
      </x:c>
      <x:c r="U41" s="6" t="str">
        <x:v>=FC01+CP01-A102:21</x:v>
      </x:c>
      <x:c r="V41" s="6" t="str">
        <x:v>Controlled Rev-D topology; conductor size/terminal family and native QET continuity verification remain open</x:v>
      </x:c>
    </x:row>
    <x:row r="42" ht="27" customHeight="1">
      <x:c r="A42" s="6" t="str">
        <x:v>LOCAL_RESET_PB</x:v>
      </x:c>
      <x:c r="B42" s="6" t="str">
        <x:v>PNP signal</x:v>
      </x:c>
      <x:c r="C42" s="6" t="str">
        <x:v>-S100</x:v>
      </x:c>
      <x:c r="D42" s="6" t="str">
        <x:v>=FC01+FLD-S100</x:v>
      </x:c>
      <x:c r="E42" s="6" t="str">
        <x:v>4</x:v>
      </x:c>
      <x:c r="F42" s="6" t="str">
        <x:v>C013</x:v>
      </x:c>
      <x:c r="G42" s="6" t="str">
        <x:v>1</x:v>
      </x:c>
      <x:c r="H42" s="6" t="str">
        <x:v>-S100:4</x:v>
      </x:c>
      <x:c r="I42" s="6" t="str">
        <x:v>X101:15</x:v>
      </x:c>
      <x:c r="J42" s="6" t="str">
        <x:v>W0041</x:v>
      </x:c>
      <x:c r="K42" s="6" t="str"/>
      <x:c r="L42" s="6" t="str">
        <x:v>-A102</x:v>
      </x:c>
      <x:c r="M42" s="6" t="str">
        <x:v>=FC01+CP01-A102</x:v>
      </x:c>
      <x:c r="N42" s="6" t="str">
        <x:v>22</x:v>
      </x:c>
      <x:c r="O42" s="6" t="str">
        <x:v>I2.6</x:v>
      </x:c>
      <x:c r="P42" s="6" t="str">
        <x:v>24 VDC switched</x:v>
      </x:c>
      <x:c r="Q42" s="6" t="str"/>
      <x:c r="R42" s="6" t="str"/>
      <x:c r="S42" s="6" t="str"/>
      <x:c r="T42" s="6" t="str">
        <x:v>BK</x:v>
      </x:c>
      <x:c r="U42" s="6" t="str">
        <x:v>=FC01+CP01-A102:22</x:v>
      </x:c>
      <x:c r="V42" s="6" t="str">
        <x:v>Controlled Rev-D topology; conductor size/terminal family and native QET continuity verification remain open</x:v>
      </x:c>
    </x:row>
    <x:row r="43" ht="27" customHeight="1">
      <x:c r="A43" s="6" t="str">
        <x:v>LOCAL_RESET_PB</x:v>
      </x:c>
      <x:c r="B43" s="6" t="str">
        <x:v>Sensor/interface supply</x:v>
      </x:c>
      <x:c r="C43" s="6" t="str">
        <x:v>-S100</x:v>
      </x:c>
      <x:c r="D43" s="6" t="str">
        <x:v>=FC01+FLD-S100</x:v>
      </x:c>
      <x:c r="E43" s="6" t="str">
        <x:v>1</x:v>
      </x:c>
      <x:c r="F43" s="6" t="str">
        <x:v>C013</x:v>
      </x:c>
      <x:c r="G43" s="6" t="str">
        <x:v>2</x:v>
      </x:c>
      <x:c r="H43" s="6" t="str">
        <x:v>-S100:1</x:v>
      </x:c>
      <x:c r="I43" s="6" t="str">
        <x:v>X101:16</x:v>
      </x:c>
      <x:c r="J43" s="6" t="str">
        <x:v>W0042</x:v>
      </x:c>
      <x:c r="K43" s="6" t="str"/>
      <x:c r="L43" s="6" t="str">
        <x:v>-A102</x:v>
      </x:c>
      <x:c r="M43" s="6" t="str">
        <x:v>=FC01+CP01-A102</x:v>
      </x:c>
      <x:c r="N43" s="6" t="str">
        <x:v>22</x:v>
      </x:c>
      <x:c r="O43" s="6" t="str">
        <x:v>I2.6</x:v>
      </x:c>
      <x:c r="P43" s="6" t="str">
        <x:v>+24VDC fused</x:v>
      </x:c>
      <x:c r="Q43" s="6" t="str"/>
      <x:c r="R43" s="6" t="str"/>
      <x:c r="S43" s="6" t="str"/>
      <x:c r="T43" s="6" t="str">
        <x:v>BN</x:v>
      </x:c>
      <x:c r="U43" s="6" t="str">
        <x:v>=FC01+CP01-X24:+24V</x:v>
      </x:c>
      <x:c r="V43" s="6" t="str">
        <x:v>Controlled Rev-D topology; conductor size/terminal family and native QET continuity verification remain open</x:v>
      </x:c>
    </x:row>
    <x:row r="44" ht="27" customHeight="1">
      <x:c r="A44" s="6" t="str">
        <x:v>LOCAL_RESET_PB</x:v>
      </x:c>
      <x:c r="B44" s="6" t="str">
        <x:v>Sensor/interface return</x:v>
      </x:c>
      <x:c r="C44" s="6" t="str">
        <x:v>-S100</x:v>
      </x:c>
      <x:c r="D44" s="6" t="str">
        <x:v>=FC01+FLD-S100</x:v>
      </x:c>
      <x:c r="E44" s="6" t="str">
        <x:v>3</x:v>
      </x:c>
      <x:c r="F44" s="6" t="str">
        <x:v>C013</x:v>
      </x:c>
      <x:c r="G44" s="6" t="str">
        <x:v>3</x:v>
      </x:c>
      <x:c r="H44" s="6" t="str">
        <x:v>-S100:3</x:v>
      </x:c>
      <x:c r="I44" s="6" t="str">
        <x:v>X101:17</x:v>
      </x:c>
      <x:c r="J44" s="6" t="str">
        <x:v>W0043</x:v>
      </x:c>
      <x:c r="K44" s="6" t="str"/>
      <x:c r="L44" s="6" t="str">
        <x:v>-A102</x:v>
      </x:c>
      <x:c r="M44" s="6" t="str">
        <x:v>=FC01+CP01-A102</x:v>
      </x:c>
      <x:c r="N44" s="6" t="str">
        <x:v>22</x:v>
      </x:c>
      <x:c r="O44" s="6" t="str">
        <x:v>I2.6</x:v>
      </x:c>
      <x:c r="P44" s="6" t="str">
        <x:v>0V</x:v>
      </x:c>
      <x:c r="Q44" s="6" t="str">
        <x:v>X0:0V</x:v>
      </x:c>
      <x:c r="R44" s="6" t="str"/>
      <x:c r="S44" s="6" t="str"/>
      <x:c r="T44" s="6" t="str">
        <x:v>BU</x:v>
      </x:c>
      <x:c r="U44" s="6" t="str">
        <x:v>=FC01+CP01-X0:0V</x:v>
      </x:c>
      <x:c r="V44" s="6" t="str">
        <x:v>Controlled Rev-D topology; conductor size/terminal family and native QET continuity verification remain open</x:v>
      </x:c>
    </x:row>
    <x:row r="45" ht="27" customHeight="1">
      <x:c r="A45" s="6" t="str">
        <x:v>LOCAL_STOP_PB</x:v>
      </x:c>
      <x:c r="B45" s="6" t="str">
        <x:v>PNP signal</x:v>
      </x:c>
      <x:c r="C45" s="6" t="str">
        <x:v>-S101</x:v>
      </x:c>
      <x:c r="D45" s="6" t="str">
        <x:v>=FC01+FLD-S101</x:v>
      </x:c>
      <x:c r="E45" s="6" t="str">
        <x:v>4</x:v>
      </x:c>
      <x:c r="F45" s="6" t="str">
        <x:v>C014</x:v>
      </x:c>
      <x:c r="G45" s="6" t="str">
        <x:v>1</x:v>
      </x:c>
      <x:c r="H45" s="6" t="str">
        <x:v>-S101:4</x:v>
      </x:c>
      <x:c r="I45" s="6" t="str">
        <x:v>X101:18</x:v>
      </x:c>
      <x:c r="J45" s="6" t="str">
        <x:v>W0044</x:v>
      </x:c>
      <x:c r="K45" s="6" t="str"/>
      <x:c r="L45" s="6" t="str">
        <x:v>-A102</x:v>
      </x:c>
      <x:c r="M45" s="6" t="str">
        <x:v>=FC01+CP01-A102</x:v>
      </x:c>
      <x:c r="N45" s="6" t="str">
        <x:v>23</x:v>
      </x:c>
      <x:c r="O45" s="6" t="str">
        <x:v>I2.7</x:v>
      </x:c>
      <x:c r="P45" s="6" t="str">
        <x:v>24 VDC switched</x:v>
      </x:c>
      <x:c r="Q45" s="6" t="str"/>
      <x:c r="R45" s="6" t="str"/>
      <x:c r="S45" s="6" t="str"/>
      <x:c r="T45" s="6" t="str">
        <x:v>BK</x:v>
      </x:c>
      <x:c r="U45" s="6" t="str">
        <x:v>=FC01+CP01-A102:23</x:v>
      </x:c>
      <x:c r="V45" s="6" t="str">
        <x:v>Controlled Rev-D topology; conductor size/terminal family and native QET continuity verification remain open</x:v>
      </x:c>
    </x:row>
    <x:row r="46" ht="27" customHeight="1">
      <x:c r="A46" s="6" t="str">
        <x:v>LOCAL_STOP_PB</x:v>
      </x:c>
      <x:c r="B46" s="6" t="str">
        <x:v>Sensor/interface supply</x:v>
      </x:c>
      <x:c r="C46" s="6" t="str">
        <x:v>-S101</x:v>
      </x:c>
      <x:c r="D46" s="6" t="str">
        <x:v>=FC01+FLD-S101</x:v>
      </x:c>
      <x:c r="E46" s="6" t="str">
        <x:v>1</x:v>
      </x:c>
      <x:c r="F46" s="6" t="str">
        <x:v>C014</x:v>
      </x:c>
      <x:c r="G46" s="6" t="str">
        <x:v>2</x:v>
      </x:c>
      <x:c r="H46" s="6" t="str">
        <x:v>-S101:1</x:v>
      </x:c>
      <x:c r="I46" s="6" t="str">
        <x:v>X101:19</x:v>
      </x:c>
      <x:c r="J46" s="6" t="str">
        <x:v>W0045</x:v>
      </x:c>
      <x:c r="K46" s="6" t="str"/>
      <x:c r="L46" s="6" t="str">
        <x:v>-A102</x:v>
      </x:c>
      <x:c r="M46" s="6" t="str">
        <x:v>=FC01+CP01-A102</x:v>
      </x:c>
      <x:c r="N46" s="6" t="str">
        <x:v>23</x:v>
      </x:c>
      <x:c r="O46" s="6" t="str">
        <x:v>I2.7</x:v>
      </x:c>
      <x:c r="P46" s="6" t="str">
        <x:v>+24VDC fused</x:v>
      </x:c>
      <x:c r="Q46" s="6" t="str"/>
      <x:c r="R46" s="6" t="str"/>
      <x:c r="S46" s="6" t="str"/>
      <x:c r="T46" s="6" t="str">
        <x:v>BN</x:v>
      </x:c>
      <x:c r="U46" s="6" t="str">
        <x:v>=FC01+CP01-X24:+24V</x:v>
      </x:c>
      <x:c r="V46" s="6" t="str">
        <x:v>Controlled Rev-D topology; conductor size/terminal family and native QET continuity verification remain open</x:v>
      </x:c>
    </x:row>
    <x:row r="47" ht="27" customHeight="1">
      <x:c r="A47" s="6" t="str">
        <x:v>LOCAL_STOP_PB</x:v>
      </x:c>
      <x:c r="B47" s="6" t="str">
        <x:v>Sensor/interface return</x:v>
      </x:c>
      <x:c r="C47" s="6" t="str">
        <x:v>-S101</x:v>
      </x:c>
      <x:c r="D47" s="6" t="str">
        <x:v>=FC01+FLD-S101</x:v>
      </x:c>
      <x:c r="E47" s="6" t="str">
        <x:v>3</x:v>
      </x:c>
      <x:c r="F47" s="6" t="str">
        <x:v>C014</x:v>
      </x:c>
      <x:c r="G47" s="6" t="str">
        <x:v>3</x:v>
      </x:c>
      <x:c r="H47" s="6" t="str">
        <x:v>-S101:3</x:v>
      </x:c>
      <x:c r="I47" s="6" t="str">
        <x:v>X101:20</x:v>
      </x:c>
      <x:c r="J47" s="6" t="str">
        <x:v>W0046</x:v>
      </x:c>
      <x:c r="K47" s="6" t="str"/>
      <x:c r="L47" s="6" t="str">
        <x:v>-A102</x:v>
      </x:c>
      <x:c r="M47" s="6" t="str">
        <x:v>=FC01+CP01-A102</x:v>
      </x:c>
      <x:c r="N47" s="6" t="str">
        <x:v>23</x:v>
      </x:c>
      <x:c r="O47" s="6" t="str">
        <x:v>I2.7</x:v>
      </x:c>
      <x:c r="P47" s="6" t="str">
        <x:v>0V</x:v>
      </x:c>
      <x:c r="Q47" s="6" t="str">
        <x:v>X0:0V</x:v>
      </x:c>
      <x:c r="R47" s="6" t="str"/>
      <x:c r="S47" s="6" t="str"/>
      <x:c r="T47" s="6" t="str">
        <x:v>BU</x:v>
      </x:c>
      <x:c r="U47" s="6" t="str">
        <x:v>=FC01+CP01-X0:0V</x:v>
      </x:c>
      <x:c r="V47" s="6" t="str">
        <x:v>Controlled Rev-D topology; conductor size/terminal family and native QET continuity verification remain open</x:v>
      </x:c>
    </x:row>
    <x:row r="48" ht="27" customHeight="1">
      <x:c r="A48" s="6" t="str">
        <x:v>FILL_VALVE_1_OPEN_CMD</x:v>
      </x:c>
      <x:c r="B48" s="6" t="str">
        <x:v>PLC output to relay coil</x:v>
      </x:c>
      <x:c r="C48" s="6" t="str">
        <x:v>-K202</x:v>
      </x:c>
      <x:c r="D48" s="6" t="str">
        <x:v>=FC01+CP01-K202</x:v>
      </x:c>
      <x:c r="E48" s="6" t="str">
        <x:v>A1</x:v>
      </x:c>
      <x:c r="F48" s="6" t="str"/>
      <x:c r="G48" s="6" t="str"/>
      <x:c r="H48" s="6" t="str">
        <x:v>-K202:A1</x:v>
      </x:c>
      <x:c r="I48" s="6" t="str"/>
      <x:c r="J48" s="6" t="str">
        <x:v>W0047</x:v>
      </x:c>
      <x:c r="K48" s="6" t="str">
        <x:v>-K202</x:v>
      </x:c>
      <x:c r="L48" s="6" t="str">
        <x:v>-A103</x:v>
      </x:c>
      <x:c r="M48" s="6" t="str">
        <x:v>=FC01+CP01-A103</x:v>
      </x:c>
      <x:c r="N48" s="6" t="str">
        <x:v>2</x:v>
      </x:c>
      <x:c r="O48" s="6" t="str">
        <x:v>Q0.2</x:v>
      </x:c>
      <x:c r="P48" s="6" t="str">
        <x:v>24 VDC switched</x:v>
      </x:c>
      <x:c r="Q48" s="6" t="str"/>
      <x:c r="R48" s="6" t="str"/>
      <x:c r="S48" s="6" t="str"/>
      <x:c r="T48" s="6" t="str">
        <x:v>BK</x:v>
      </x:c>
      <x:c r="U48" s="6" t="str">
        <x:v>=FC01+CP01-A103:2</x:v>
      </x:c>
      <x:c r="V48" s="6" t="str">
        <x:v>Controlled Rev-D topology; conductor size/terminal family and native QET continuity verification remain open</x:v>
      </x:c>
    </x:row>
    <x:row r="49" ht="27" customHeight="1">
      <x:c r="A49" s="6" t="str">
        <x:v>FILL_VALVE_1_OPEN_CMD</x:v>
      </x:c>
      <x:c r="B49" s="6" t="str">
        <x:v>Relay coil return</x:v>
      </x:c>
      <x:c r="C49" s="6" t="str">
        <x:v>-K202</x:v>
      </x:c>
      <x:c r="D49" s="6" t="str">
        <x:v>=FC01+CP01-K202</x:v>
      </x:c>
      <x:c r="E49" s="6" t="str">
        <x:v>A2</x:v>
      </x:c>
      <x:c r="F49" s="6" t="str"/>
      <x:c r="G49" s="6" t="str"/>
      <x:c r="H49" s="6" t="str">
        <x:v>-K202:A2</x:v>
      </x:c>
      <x:c r="I49" s="6" t="str"/>
      <x:c r="J49" s="6" t="str">
        <x:v>W0048</x:v>
      </x:c>
      <x:c r="K49" s="6" t="str">
        <x:v>-K202</x:v>
      </x:c>
      <x:c r="L49" s="6" t="str">
        <x:v>-A103</x:v>
      </x:c>
      <x:c r="M49" s="6" t="str">
        <x:v>=FC01+CP01-A103</x:v>
      </x:c>
      <x:c r="N49" s="6" t="str">
        <x:v>2</x:v>
      </x:c>
      <x:c r="O49" s="6" t="str">
        <x:v>Q0.2</x:v>
      </x:c>
      <x:c r="P49" s="6" t="str">
        <x:v>0V</x:v>
      </x:c>
      <x:c r="Q49" s="6" t="str">
        <x:v>X0:0V</x:v>
      </x:c>
      <x:c r="R49" s="6" t="str"/>
      <x:c r="S49" s="6" t="str"/>
      <x:c r="T49" s="6" t="str">
        <x:v>BU</x:v>
      </x:c>
      <x:c r="U49" s="6" t="str">
        <x:v>=FC01+CP01-X0:0V</x:v>
      </x:c>
      <x:c r="V49" s="6" t="str">
        <x:v>Controlled Rev-D topology; conductor size/terminal family and native QET continuity verification remain open</x:v>
      </x:c>
    </x:row>
    <x:row r="50" ht="27" customHeight="1">
      <x:c r="A50" s="6" t="str">
        <x:v>FILL_VALVE_1_OPEN_CMD</x:v>
      </x:c>
      <x:c r="B50" s="6" t="str">
        <x:v>Relay contact supply</x:v>
      </x:c>
      <x:c r="C50" s="6" t="str">
        <x:v>-K202</x:v>
      </x:c>
      <x:c r="D50" s="6" t="str">
        <x:v>=FC01+CP01-K202</x:v>
      </x:c>
      <x:c r="E50" s="6" t="str">
        <x:v>13</x:v>
      </x:c>
      <x:c r="F50" s="6" t="str"/>
      <x:c r="G50" s="6" t="str"/>
      <x:c r="H50" s="6" t="str">
        <x:v>-K202:13</x:v>
      </x:c>
      <x:c r="I50" s="6" t="str"/>
      <x:c r="J50" s="6" t="str">
        <x:v>W0049</x:v>
      </x:c>
      <x:c r="K50" s="6" t="str">
        <x:v>-K202</x:v>
      </x:c>
      <x:c r="L50" s="6" t="str">
        <x:v>-A103</x:v>
      </x:c>
      <x:c r="M50" s="6" t="str">
        <x:v>=FC01+CP01-A103</x:v>
      </x:c>
      <x:c r="N50" s="6" t="str">
        <x:v>2</x:v>
      </x:c>
      <x:c r="O50" s="6" t="str">
        <x:v>Q0.2</x:v>
      </x:c>
      <x:c r="P50" s="6" t="str">
        <x:v>+24VDC fused</x:v>
      </x:c>
      <x:c r="Q50" s="6" t="str"/>
      <x:c r="R50" s="6" t="str"/>
      <x:c r="S50" s="6" t="str"/>
      <x:c r="T50" s="6" t="str">
        <x:v>RD</x:v>
      </x:c>
      <x:c r="U50" s="6" t="str">
        <x:v>=FC01+CP01-X24:+24V</x:v>
      </x:c>
      <x:c r="V50" s="6" t="str">
        <x:v>Controlled Rev-D topology; conductor size/terminal family and native QET continuity verification remain open</x:v>
      </x:c>
    </x:row>
    <x:row r="51" ht="27" customHeight="1">
      <x:c r="A51" s="6" t="str">
        <x:v>FILL_VALVE_1_OPEN_CMD</x:v>
      </x:c>
      <x:c r="B51" s="6" t="str">
        <x:v>Relay contact 14 to field load</x:v>
      </x:c>
      <x:c r="C51" s="6" t="str">
        <x:v>-YV102</x:v>
      </x:c>
      <x:c r="D51" s="6" t="str">
        <x:v>=FC01+FLD-YV102</x:v>
      </x:c>
      <x:c r="E51" s="6" t="str">
        <x:v>1</x:v>
      </x:c>
      <x:c r="F51" s="6" t="str">
        <x:v>C015</x:v>
      </x:c>
      <x:c r="G51" s="6" t="str">
        <x:v>1</x:v>
      </x:c>
      <x:c r="H51" s="6" t="str">
        <x:v>-YV102:1</x:v>
      </x:c>
      <x:c r="I51" s="6" t="str">
        <x:v>X101:21</x:v>
      </x:c>
      <x:c r="J51" s="6" t="str">
        <x:v>W0050</x:v>
      </x:c>
      <x:c r="K51" s="6" t="str">
        <x:v>-K202</x:v>
      </x:c>
      <x:c r="L51" s="6" t="str">
        <x:v>-A103</x:v>
      </x:c>
      <x:c r="M51" s="6" t="str">
        <x:v>=FC01+CP01-A103</x:v>
      </x:c>
      <x:c r="N51" s="6" t="str">
        <x:v>2</x:v>
      </x:c>
      <x:c r="O51" s="6" t="str">
        <x:v>Q0.2</x:v>
      </x:c>
      <x:c r="P51" s="6" t="str">
        <x:v>+24VDC switched</x:v>
      </x:c>
      <x:c r="Q51" s="6" t="str"/>
      <x:c r="R51" s="6" t="str"/>
      <x:c r="S51" s="6" t="str"/>
      <x:c r="T51" s="6" t="str">
        <x:v>BK</x:v>
      </x:c>
      <x:c r="U51" s="6" t="str">
        <x:v>=FC01+CP01-K202:14</x:v>
      </x:c>
      <x:c r="V51" s="6" t="str">
        <x:v>Controlled Rev-D topology; conductor size/terminal family and native QET continuity verification remain open</x:v>
      </x:c>
    </x:row>
    <x:row r="52" ht="27" customHeight="1">
      <x:c r="A52" s="6" t="str">
        <x:v>FILL_VALVE_1_OPEN_CMD</x:v>
      </x:c>
      <x:c r="B52" s="6" t="str">
        <x:v>Field load return</x:v>
      </x:c>
      <x:c r="C52" s="6" t="str">
        <x:v>-YV102</x:v>
      </x:c>
      <x:c r="D52" s="6" t="str">
        <x:v>=FC01+FLD-YV102</x:v>
      </x:c>
      <x:c r="E52" s="6" t="str">
        <x:v>2</x:v>
      </x:c>
      <x:c r="F52" s="6" t="str">
        <x:v>C015</x:v>
      </x:c>
      <x:c r="G52" s="6" t="str">
        <x:v>2</x:v>
      </x:c>
      <x:c r="H52" s="6" t="str">
        <x:v>-YV102:2</x:v>
      </x:c>
      <x:c r="I52" s="6" t="str">
        <x:v>X101:22</x:v>
      </x:c>
      <x:c r="J52" s="6" t="str">
        <x:v>W0051</x:v>
      </x:c>
      <x:c r="K52" s="6" t="str">
        <x:v>-K202</x:v>
      </x:c>
      <x:c r="L52" s="6" t="str">
        <x:v>-A103</x:v>
      </x:c>
      <x:c r="M52" s="6" t="str">
        <x:v>=FC01+CP01-A103</x:v>
      </x:c>
      <x:c r="N52" s="6" t="str">
        <x:v>2</x:v>
      </x:c>
      <x:c r="O52" s="6" t="str">
        <x:v>Q0.2</x:v>
      </x:c>
      <x:c r="P52" s="6" t="str">
        <x:v>0V</x:v>
      </x:c>
      <x:c r="Q52" s="6" t="str">
        <x:v>X0:0V</x:v>
      </x:c>
      <x:c r="R52" s="6" t="str"/>
      <x:c r="S52" s="6" t="str"/>
      <x:c r="T52" s="6" t="str">
        <x:v>BU</x:v>
      </x:c>
      <x:c r="U52" s="6" t="str">
        <x:v>=FC01+CP01-X0:0V</x:v>
      </x:c>
      <x:c r="V52" s="6" t="str">
        <x:v>Controlled Rev-D topology; conductor size/terminal family and native QET continuity verification remain open</x:v>
      </x:c>
    </x:row>
    <x:row r="53" ht="27" customHeight="1">
      <x:c r="A53" s="6" t="str">
        <x:v>FILL_VALVE_2_OPEN_CMD</x:v>
      </x:c>
      <x:c r="B53" s="6" t="str">
        <x:v>PLC output to relay coil</x:v>
      </x:c>
      <x:c r="C53" s="6" t="str">
        <x:v>-K203</x:v>
      </x:c>
      <x:c r="D53" s="6" t="str">
        <x:v>=FC01+CP01-K203</x:v>
      </x:c>
      <x:c r="E53" s="6" t="str">
        <x:v>A1</x:v>
      </x:c>
      <x:c r="F53" s="6" t="str"/>
      <x:c r="G53" s="6" t="str"/>
      <x:c r="H53" s="6" t="str">
        <x:v>-K203:A1</x:v>
      </x:c>
      <x:c r="I53" s="6" t="str"/>
      <x:c r="J53" s="6" t="str">
        <x:v>W0052</x:v>
      </x:c>
      <x:c r="K53" s="6" t="str">
        <x:v>-K203</x:v>
      </x:c>
      <x:c r="L53" s="6" t="str">
        <x:v>-A103</x:v>
      </x:c>
      <x:c r="M53" s="6" t="str">
        <x:v>=FC01+CP01-A103</x:v>
      </x:c>
      <x:c r="N53" s="6" t="str">
        <x:v>3</x:v>
      </x:c>
      <x:c r="O53" s="6" t="str">
        <x:v>Q0.3</x:v>
      </x:c>
      <x:c r="P53" s="6" t="str">
        <x:v>24 VDC switched</x:v>
      </x:c>
      <x:c r="Q53" s="6" t="str"/>
      <x:c r="R53" s="6" t="str"/>
      <x:c r="S53" s="6" t="str"/>
      <x:c r="T53" s="6" t="str">
        <x:v>BK</x:v>
      </x:c>
      <x:c r="U53" s="6" t="str">
        <x:v>=FC01+CP01-A103:3</x:v>
      </x:c>
      <x:c r="V53" s="6" t="str">
        <x:v>Controlled Rev-D topology; conductor size/terminal family and native QET continuity verification remain open</x:v>
      </x:c>
    </x:row>
    <x:row r="54" ht="27" customHeight="1">
      <x:c r="A54" s="6" t="str">
        <x:v>FILL_VALVE_2_OPEN_CMD</x:v>
      </x:c>
      <x:c r="B54" s="6" t="str">
        <x:v>Relay coil return</x:v>
      </x:c>
      <x:c r="C54" s="6" t="str">
        <x:v>-K203</x:v>
      </x:c>
      <x:c r="D54" s="6" t="str">
        <x:v>=FC01+CP01-K203</x:v>
      </x:c>
      <x:c r="E54" s="6" t="str">
        <x:v>A2</x:v>
      </x:c>
      <x:c r="F54" s="6" t="str"/>
      <x:c r="G54" s="6" t="str"/>
      <x:c r="H54" s="6" t="str">
        <x:v>-K203:A2</x:v>
      </x:c>
      <x:c r="I54" s="6" t="str"/>
      <x:c r="J54" s="6" t="str">
        <x:v>W0053</x:v>
      </x:c>
      <x:c r="K54" s="6" t="str">
        <x:v>-K203</x:v>
      </x:c>
      <x:c r="L54" s="6" t="str">
        <x:v>-A103</x:v>
      </x:c>
      <x:c r="M54" s="6" t="str">
        <x:v>=FC01+CP01-A103</x:v>
      </x:c>
      <x:c r="N54" s="6" t="str">
        <x:v>3</x:v>
      </x:c>
      <x:c r="O54" s="6" t="str">
        <x:v>Q0.3</x:v>
      </x:c>
      <x:c r="P54" s="6" t="str">
        <x:v>0V</x:v>
      </x:c>
      <x:c r="Q54" s="6" t="str">
        <x:v>X0:0V</x:v>
      </x:c>
      <x:c r="R54" s="6" t="str"/>
      <x:c r="S54" s="6" t="str"/>
      <x:c r="T54" s="6" t="str">
        <x:v>BU</x:v>
      </x:c>
      <x:c r="U54" s="6" t="str">
        <x:v>=FC01+CP01-X0:0V</x:v>
      </x:c>
      <x:c r="V54" s="6" t="str">
        <x:v>Controlled Rev-D topology; conductor size/terminal family and native QET continuity verification remain open</x:v>
      </x:c>
    </x:row>
    <x:row r="55" ht="27" customHeight="1">
      <x:c r="A55" s="6" t="str">
        <x:v>FILL_VALVE_2_OPEN_CMD</x:v>
      </x:c>
      <x:c r="B55" s="6" t="str">
        <x:v>Relay contact supply</x:v>
      </x:c>
      <x:c r="C55" s="6" t="str">
        <x:v>-K203</x:v>
      </x:c>
      <x:c r="D55" s="6" t="str">
        <x:v>=FC01+CP01-K203</x:v>
      </x:c>
      <x:c r="E55" s="6" t="str">
        <x:v>13</x:v>
      </x:c>
      <x:c r="F55" s="6" t="str"/>
      <x:c r="G55" s="6" t="str"/>
      <x:c r="H55" s="6" t="str">
        <x:v>-K203:13</x:v>
      </x:c>
      <x:c r="I55" s="6" t="str"/>
      <x:c r="J55" s="6" t="str">
        <x:v>W0054</x:v>
      </x:c>
      <x:c r="K55" s="6" t="str">
        <x:v>-K203</x:v>
      </x:c>
      <x:c r="L55" s="6" t="str">
        <x:v>-A103</x:v>
      </x:c>
      <x:c r="M55" s="6" t="str">
        <x:v>=FC01+CP01-A103</x:v>
      </x:c>
      <x:c r="N55" s="6" t="str">
        <x:v>3</x:v>
      </x:c>
      <x:c r="O55" s="6" t="str">
        <x:v>Q0.3</x:v>
      </x:c>
      <x:c r="P55" s="6" t="str">
        <x:v>+24VDC fused</x:v>
      </x:c>
      <x:c r="Q55" s="6" t="str"/>
      <x:c r="R55" s="6" t="str"/>
      <x:c r="S55" s="6" t="str"/>
      <x:c r="T55" s="6" t="str">
        <x:v>RD</x:v>
      </x:c>
      <x:c r="U55" s="6" t="str">
        <x:v>=FC01+CP01-X24:+24V</x:v>
      </x:c>
      <x:c r="V55" s="6" t="str">
        <x:v>Controlled Rev-D topology; conductor size/terminal family and native QET continuity verification remain open</x:v>
      </x:c>
    </x:row>
    <x:row r="56" ht="27" customHeight="1">
      <x:c r="A56" s="6" t="str">
        <x:v>FILL_VALVE_2_OPEN_CMD</x:v>
      </x:c>
      <x:c r="B56" s="6" t="str">
        <x:v>Relay contact 14 to field load</x:v>
      </x:c>
      <x:c r="C56" s="6" t="str">
        <x:v>-YV103</x:v>
      </x:c>
      <x:c r="D56" s="6" t="str">
        <x:v>=FC01+FLD-YV103</x:v>
      </x:c>
      <x:c r="E56" s="6" t="str">
        <x:v>1</x:v>
      </x:c>
      <x:c r="F56" s="6" t="str">
        <x:v>C016</x:v>
      </x:c>
      <x:c r="G56" s="6" t="str">
        <x:v>1</x:v>
      </x:c>
      <x:c r="H56" s="6" t="str">
        <x:v>-YV103:1</x:v>
      </x:c>
      <x:c r="I56" s="6" t="str">
        <x:v>X101:23</x:v>
      </x:c>
      <x:c r="J56" s="6" t="str">
        <x:v>W0055</x:v>
      </x:c>
      <x:c r="K56" s="6" t="str">
        <x:v>-K203</x:v>
      </x:c>
      <x:c r="L56" s="6" t="str">
        <x:v>-A103</x:v>
      </x:c>
      <x:c r="M56" s="6" t="str">
        <x:v>=FC01+CP01-A103</x:v>
      </x:c>
      <x:c r="N56" s="6" t="str">
        <x:v>3</x:v>
      </x:c>
      <x:c r="O56" s="6" t="str">
        <x:v>Q0.3</x:v>
      </x:c>
      <x:c r="P56" s="6" t="str">
        <x:v>+24VDC switched</x:v>
      </x:c>
      <x:c r="Q56" s="6" t="str"/>
      <x:c r="R56" s="6" t="str"/>
      <x:c r="S56" s="6" t="str"/>
      <x:c r="T56" s="6" t="str">
        <x:v>BK</x:v>
      </x:c>
      <x:c r="U56" s="6" t="str">
        <x:v>=FC01+CP01-K203:14</x:v>
      </x:c>
      <x:c r="V56" s="6" t="str">
        <x:v>Controlled Rev-D topology; conductor size/terminal family and native QET continuity verification remain open</x:v>
      </x:c>
    </x:row>
    <x:row r="57" ht="27" customHeight="1">
      <x:c r="A57" s="6" t="str">
        <x:v>FILL_VALVE_2_OPEN_CMD</x:v>
      </x:c>
      <x:c r="B57" s="6" t="str">
        <x:v>Field load return</x:v>
      </x:c>
      <x:c r="C57" s="6" t="str">
        <x:v>-YV103</x:v>
      </x:c>
      <x:c r="D57" s="6" t="str">
        <x:v>=FC01+FLD-YV103</x:v>
      </x:c>
      <x:c r="E57" s="6" t="str">
        <x:v>2</x:v>
      </x:c>
      <x:c r="F57" s="6" t="str">
        <x:v>C016</x:v>
      </x:c>
      <x:c r="G57" s="6" t="str">
        <x:v>2</x:v>
      </x:c>
      <x:c r="H57" s="6" t="str">
        <x:v>-YV103:2</x:v>
      </x:c>
      <x:c r="I57" s="6" t="str">
        <x:v>X101:24</x:v>
      </x:c>
      <x:c r="J57" s="6" t="str">
        <x:v>W0056</x:v>
      </x:c>
      <x:c r="K57" s="6" t="str">
        <x:v>-K203</x:v>
      </x:c>
      <x:c r="L57" s="6" t="str">
        <x:v>-A103</x:v>
      </x:c>
      <x:c r="M57" s="6" t="str">
        <x:v>=FC01+CP01-A103</x:v>
      </x:c>
      <x:c r="N57" s="6" t="str">
        <x:v>3</x:v>
      </x:c>
      <x:c r="O57" s="6" t="str">
        <x:v>Q0.3</x:v>
      </x:c>
      <x:c r="P57" s="6" t="str">
        <x:v>0V</x:v>
      </x:c>
      <x:c r="Q57" s="6" t="str">
        <x:v>X0:0V</x:v>
      </x:c>
      <x:c r="R57" s="6" t="str"/>
      <x:c r="S57" s="6" t="str"/>
      <x:c r="T57" s="6" t="str">
        <x:v>BU</x:v>
      </x:c>
      <x:c r="U57" s="6" t="str">
        <x:v>=FC01+CP01-X0:0V</x:v>
      </x:c>
      <x:c r="V57" s="6" t="str">
        <x:v>Controlled Rev-D topology; conductor size/terminal family and native QET continuity verification remain open</x:v>
      </x:c>
    </x:row>
    <x:row r="58" ht="27" customHeight="1">
      <x:c r="A58" s="6" t="str">
        <x:v>GATE_OPEN_CMD</x:v>
      </x:c>
      <x:c r="B58" s="6" t="str">
        <x:v>PLC output to relay coil</x:v>
      </x:c>
      <x:c r="C58" s="6" t="str">
        <x:v>-K204</x:v>
      </x:c>
      <x:c r="D58" s="6" t="str">
        <x:v>=FC01+CP01-K204</x:v>
      </x:c>
      <x:c r="E58" s="6" t="str">
        <x:v>A1</x:v>
      </x:c>
      <x:c r="F58" s="6" t="str"/>
      <x:c r="G58" s="6" t="str"/>
      <x:c r="H58" s="6" t="str">
        <x:v>-K204:A1</x:v>
      </x:c>
      <x:c r="I58" s="6" t="str"/>
      <x:c r="J58" s="6" t="str">
        <x:v>W0057</x:v>
      </x:c>
      <x:c r="K58" s="6" t="str">
        <x:v>-K204</x:v>
      </x:c>
      <x:c r="L58" s="6" t="str">
        <x:v>-A103</x:v>
      </x:c>
      <x:c r="M58" s="6" t="str">
        <x:v>=FC01+CP01-A103</x:v>
      </x:c>
      <x:c r="N58" s="6" t="str">
        <x:v>4</x:v>
      </x:c>
      <x:c r="O58" s="6" t="str">
        <x:v>Q0.4</x:v>
      </x:c>
      <x:c r="P58" s="6" t="str">
        <x:v>24 VDC switched</x:v>
      </x:c>
      <x:c r="Q58" s="6" t="str"/>
      <x:c r="R58" s="6" t="str"/>
      <x:c r="S58" s="6" t="str"/>
      <x:c r="T58" s="6" t="str">
        <x:v>BK</x:v>
      </x:c>
      <x:c r="U58" s="6" t="str">
        <x:v>=FC01+CP01-A103:4</x:v>
      </x:c>
      <x:c r="V58" s="6" t="str">
        <x:v>Controlled Rev-D topology; conductor size/terminal family and native QET continuity verification remain open</x:v>
      </x:c>
    </x:row>
    <x:row r="59" ht="27" customHeight="1">
      <x:c r="A59" s="6" t="str">
        <x:v>GATE_OPEN_CMD</x:v>
      </x:c>
      <x:c r="B59" s="6" t="str">
        <x:v>Relay coil return</x:v>
      </x:c>
      <x:c r="C59" s="6" t="str">
        <x:v>-K204</x:v>
      </x:c>
      <x:c r="D59" s="6" t="str">
        <x:v>=FC01+CP01-K204</x:v>
      </x:c>
      <x:c r="E59" s="6" t="str">
        <x:v>A2</x:v>
      </x:c>
      <x:c r="F59" s="6" t="str"/>
      <x:c r="G59" s="6" t="str"/>
      <x:c r="H59" s="6" t="str">
        <x:v>-K204:A2</x:v>
      </x:c>
      <x:c r="I59" s="6" t="str"/>
      <x:c r="J59" s="6" t="str">
        <x:v>W0058</x:v>
      </x:c>
      <x:c r="K59" s="6" t="str">
        <x:v>-K204</x:v>
      </x:c>
      <x:c r="L59" s="6" t="str">
        <x:v>-A103</x:v>
      </x:c>
      <x:c r="M59" s="6" t="str">
        <x:v>=FC01+CP01-A103</x:v>
      </x:c>
      <x:c r="N59" s="6" t="str">
        <x:v>4</x:v>
      </x:c>
      <x:c r="O59" s="6" t="str">
        <x:v>Q0.4</x:v>
      </x:c>
      <x:c r="P59" s="6" t="str">
        <x:v>0V</x:v>
      </x:c>
      <x:c r="Q59" s="6" t="str">
        <x:v>X0:0V</x:v>
      </x:c>
      <x:c r="R59" s="6" t="str"/>
      <x:c r="S59" s="6" t="str"/>
      <x:c r="T59" s="6" t="str">
        <x:v>BU</x:v>
      </x:c>
      <x:c r="U59" s="6" t="str">
        <x:v>=FC01+CP01-X0:0V</x:v>
      </x:c>
      <x:c r="V59" s="6" t="str">
        <x:v>Controlled Rev-D topology; conductor size/terminal family and native QET continuity verification remain open</x:v>
      </x:c>
    </x:row>
    <x:row r="60" ht="27" customHeight="1">
      <x:c r="A60" s="6" t="str">
        <x:v>GATE_OPEN_CMD</x:v>
      </x:c>
      <x:c r="B60" s="6" t="str">
        <x:v>Relay contact supply</x:v>
      </x:c>
      <x:c r="C60" s="6" t="str">
        <x:v>-K204</x:v>
      </x:c>
      <x:c r="D60" s="6" t="str">
        <x:v>=FC01+CP01-K204</x:v>
      </x:c>
      <x:c r="E60" s="6" t="str">
        <x:v>13</x:v>
      </x:c>
      <x:c r="F60" s="6" t="str"/>
      <x:c r="G60" s="6" t="str"/>
      <x:c r="H60" s="6" t="str">
        <x:v>-K204:13</x:v>
      </x:c>
      <x:c r="I60" s="6" t="str"/>
      <x:c r="J60" s="6" t="str">
        <x:v>W0059</x:v>
      </x:c>
      <x:c r="K60" s="6" t="str">
        <x:v>-K204</x:v>
      </x:c>
      <x:c r="L60" s="6" t="str">
        <x:v>-A103</x:v>
      </x:c>
      <x:c r="M60" s="6" t="str">
        <x:v>=FC01+CP01-A103</x:v>
      </x:c>
      <x:c r="N60" s="6" t="str">
        <x:v>4</x:v>
      </x:c>
      <x:c r="O60" s="6" t="str">
        <x:v>Q0.4</x:v>
      </x:c>
      <x:c r="P60" s="6" t="str">
        <x:v>+24VDC fused</x:v>
      </x:c>
      <x:c r="Q60" s="6" t="str"/>
      <x:c r="R60" s="6" t="str"/>
      <x:c r="S60" s="6" t="str"/>
      <x:c r="T60" s="6" t="str">
        <x:v>RD</x:v>
      </x:c>
      <x:c r="U60" s="6" t="str">
        <x:v>=FC01+CP01-X24:+24V</x:v>
      </x:c>
      <x:c r="V60" s="6" t="str">
        <x:v>Controlled Rev-D topology; conductor size/terminal family and native QET continuity verification remain open</x:v>
      </x:c>
    </x:row>
    <x:row r="61" ht="27" customHeight="1">
      <x:c r="A61" s="6" t="str">
        <x:v>GATE_OPEN_CMD</x:v>
      </x:c>
      <x:c r="B61" s="6" t="str">
        <x:v>Relay contact 14 to field load</x:v>
      </x:c>
      <x:c r="C61" s="6" t="str">
        <x:v>-YV100</x:v>
      </x:c>
      <x:c r="D61" s="6" t="str">
        <x:v>=FC01+FLD-YV100</x:v>
      </x:c>
      <x:c r="E61" s="6" t="str">
        <x:v>1</x:v>
      </x:c>
      <x:c r="F61" s="6" t="str">
        <x:v>C017</x:v>
      </x:c>
      <x:c r="G61" s="6" t="str">
        <x:v>1</x:v>
      </x:c>
      <x:c r="H61" s="6" t="str">
        <x:v>-YV100:1</x:v>
      </x:c>
      <x:c r="I61" s="6" t="str">
        <x:v>X102:1</x:v>
      </x:c>
      <x:c r="J61" s="6" t="str">
        <x:v>W0060</x:v>
      </x:c>
      <x:c r="K61" s="6" t="str">
        <x:v>-K204</x:v>
      </x:c>
      <x:c r="L61" s="6" t="str">
        <x:v>-A103</x:v>
      </x:c>
      <x:c r="M61" s="6" t="str">
        <x:v>=FC01+CP01-A103</x:v>
      </x:c>
      <x:c r="N61" s="6" t="str">
        <x:v>4</x:v>
      </x:c>
      <x:c r="O61" s="6" t="str">
        <x:v>Q0.4</x:v>
      </x:c>
      <x:c r="P61" s="6" t="str">
        <x:v>+24VDC switched</x:v>
      </x:c>
      <x:c r="Q61" s="6" t="str"/>
      <x:c r="R61" s="6" t="str"/>
      <x:c r="S61" s="6" t="str"/>
      <x:c r="T61" s="6" t="str">
        <x:v>BK</x:v>
      </x:c>
      <x:c r="U61" s="6" t="str">
        <x:v>=FC01+CP01-K204:14</x:v>
      </x:c>
      <x:c r="V61" s="6" t="str">
        <x:v>Controlled Rev-D topology; conductor size/terminal family and native QET continuity verification remain open</x:v>
      </x:c>
    </x:row>
    <x:row r="62" ht="27" customHeight="1">
      <x:c r="A62" s="6" t="str">
        <x:v>GATE_OPEN_CMD</x:v>
      </x:c>
      <x:c r="B62" s="6" t="str">
        <x:v>Field load return</x:v>
      </x:c>
      <x:c r="C62" s="6" t="str">
        <x:v>-YV100</x:v>
      </x:c>
      <x:c r="D62" s="6" t="str">
        <x:v>=FC01+FLD-YV100</x:v>
      </x:c>
      <x:c r="E62" s="6" t="str">
        <x:v>2</x:v>
      </x:c>
      <x:c r="F62" s="6" t="str">
        <x:v>C017</x:v>
      </x:c>
      <x:c r="G62" s="6" t="str">
        <x:v>2</x:v>
      </x:c>
      <x:c r="H62" s="6" t="str">
        <x:v>-YV100:2</x:v>
      </x:c>
      <x:c r="I62" s="6" t="str">
        <x:v>X102:2</x:v>
      </x:c>
      <x:c r="J62" s="6" t="str">
        <x:v>W0061</x:v>
      </x:c>
      <x:c r="K62" s="6" t="str">
        <x:v>-K204</x:v>
      </x:c>
      <x:c r="L62" s="6" t="str">
        <x:v>-A103</x:v>
      </x:c>
      <x:c r="M62" s="6" t="str">
        <x:v>=FC01+CP01-A103</x:v>
      </x:c>
      <x:c r="N62" s="6" t="str">
        <x:v>4</x:v>
      </x:c>
      <x:c r="O62" s="6" t="str">
        <x:v>Q0.4</x:v>
      </x:c>
      <x:c r="P62" s="6" t="str">
        <x:v>0V</x:v>
      </x:c>
      <x:c r="Q62" s="6" t="str">
        <x:v>X0:0V</x:v>
      </x:c>
      <x:c r="R62" s="6" t="str"/>
      <x:c r="S62" s="6" t="str"/>
      <x:c r="T62" s="6" t="str">
        <x:v>BU</x:v>
      </x:c>
      <x:c r="U62" s="6" t="str">
        <x:v>=FC01+CP01-X0:0V</x:v>
      </x:c>
      <x:c r="V62" s="6" t="str">
        <x:v>Controlled Rev-D topology; conductor size/terminal family and native QET continuity verification remain open</x:v>
      </x:c>
    </x:row>
    <x:row r="63" ht="27" customHeight="1">
      <x:c r="A63" s="6" t="str">
        <x:v>GATE_CLOSE_CMD</x:v>
      </x:c>
      <x:c r="B63" s="6" t="str">
        <x:v>PLC output to relay coil</x:v>
      </x:c>
      <x:c r="C63" s="6" t="str">
        <x:v>-K205</x:v>
      </x:c>
      <x:c r="D63" s="6" t="str">
        <x:v>=FC01+CP01-K205</x:v>
      </x:c>
      <x:c r="E63" s="6" t="str">
        <x:v>A1</x:v>
      </x:c>
      <x:c r="F63" s="6" t="str"/>
      <x:c r="G63" s="6" t="str"/>
      <x:c r="H63" s="6" t="str">
        <x:v>-K205:A1</x:v>
      </x:c>
      <x:c r="I63" s="6" t="str"/>
      <x:c r="J63" s="6" t="str">
        <x:v>W0062</x:v>
      </x:c>
      <x:c r="K63" s="6" t="str">
        <x:v>-K205</x:v>
      </x:c>
      <x:c r="L63" s="6" t="str">
        <x:v>-A103</x:v>
      </x:c>
      <x:c r="M63" s="6" t="str">
        <x:v>=FC01+CP01-A103</x:v>
      </x:c>
      <x:c r="N63" s="6" t="str">
        <x:v>5</x:v>
      </x:c>
      <x:c r="O63" s="6" t="str">
        <x:v>Q0.5</x:v>
      </x:c>
      <x:c r="P63" s="6" t="str">
        <x:v>24 VDC switched</x:v>
      </x:c>
      <x:c r="Q63" s="6" t="str"/>
      <x:c r="R63" s="6" t="str"/>
      <x:c r="S63" s="6" t="str"/>
      <x:c r="T63" s="6" t="str">
        <x:v>BK</x:v>
      </x:c>
      <x:c r="U63" s="6" t="str">
        <x:v>=FC01+CP01-A103:5</x:v>
      </x:c>
      <x:c r="V63" s="6" t="str">
        <x:v>Controlled Rev-D topology; conductor size/terminal family and native QET continuity verification remain open</x:v>
      </x:c>
    </x:row>
    <x:row r="64" ht="27" customHeight="1">
      <x:c r="A64" s="6" t="str">
        <x:v>GATE_CLOSE_CMD</x:v>
      </x:c>
      <x:c r="B64" s="6" t="str">
        <x:v>Relay coil return</x:v>
      </x:c>
      <x:c r="C64" s="6" t="str">
        <x:v>-K205</x:v>
      </x:c>
      <x:c r="D64" s="6" t="str">
        <x:v>=FC01+CP01-K205</x:v>
      </x:c>
      <x:c r="E64" s="6" t="str">
        <x:v>A2</x:v>
      </x:c>
      <x:c r="F64" s="6" t="str"/>
      <x:c r="G64" s="6" t="str"/>
      <x:c r="H64" s="6" t="str">
        <x:v>-K205:A2</x:v>
      </x:c>
      <x:c r="I64" s="6" t="str"/>
      <x:c r="J64" s="6" t="str">
        <x:v>W0063</x:v>
      </x:c>
      <x:c r="K64" s="6" t="str">
        <x:v>-K205</x:v>
      </x:c>
      <x:c r="L64" s="6" t="str">
        <x:v>-A103</x:v>
      </x:c>
      <x:c r="M64" s="6" t="str">
        <x:v>=FC01+CP01-A103</x:v>
      </x:c>
      <x:c r="N64" s="6" t="str">
        <x:v>5</x:v>
      </x:c>
      <x:c r="O64" s="6" t="str">
        <x:v>Q0.5</x:v>
      </x:c>
      <x:c r="P64" s="6" t="str">
        <x:v>0V</x:v>
      </x:c>
      <x:c r="Q64" s="6" t="str">
        <x:v>X0:0V</x:v>
      </x:c>
      <x:c r="R64" s="6" t="str"/>
      <x:c r="S64" s="6" t="str"/>
      <x:c r="T64" s="6" t="str">
        <x:v>BU</x:v>
      </x:c>
      <x:c r="U64" s="6" t="str">
        <x:v>=FC01+CP01-X0:0V</x:v>
      </x:c>
      <x:c r="V64" s="6" t="str">
        <x:v>Controlled Rev-D topology; conductor size/terminal family and native QET continuity verification remain open</x:v>
      </x:c>
    </x:row>
    <x:row r="65" ht="27" customHeight="1">
      <x:c r="A65" s="6" t="str">
        <x:v>GATE_CLOSE_CMD</x:v>
      </x:c>
      <x:c r="B65" s="6" t="str">
        <x:v>Relay contact supply</x:v>
      </x:c>
      <x:c r="C65" s="6" t="str">
        <x:v>-K205</x:v>
      </x:c>
      <x:c r="D65" s="6" t="str">
        <x:v>=FC01+CP01-K205</x:v>
      </x:c>
      <x:c r="E65" s="6" t="str">
        <x:v>13</x:v>
      </x:c>
      <x:c r="F65" s="6" t="str"/>
      <x:c r="G65" s="6" t="str"/>
      <x:c r="H65" s="6" t="str">
        <x:v>-K205:13</x:v>
      </x:c>
      <x:c r="I65" s="6" t="str"/>
      <x:c r="J65" s="6" t="str">
        <x:v>W0064</x:v>
      </x:c>
      <x:c r="K65" s="6" t="str">
        <x:v>-K205</x:v>
      </x:c>
      <x:c r="L65" s="6" t="str">
        <x:v>-A103</x:v>
      </x:c>
      <x:c r="M65" s="6" t="str">
        <x:v>=FC01+CP01-A103</x:v>
      </x:c>
      <x:c r="N65" s="6" t="str">
        <x:v>5</x:v>
      </x:c>
      <x:c r="O65" s="6" t="str">
        <x:v>Q0.5</x:v>
      </x:c>
      <x:c r="P65" s="6" t="str">
        <x:v>+24VDC fused</x:v>
      </x:c>
      <x:c r="Q65" s="6" t="str"/>
      <x:c r="R65" s="6" t="str"/>
      <x:c r="S65" s="6" t="str"/>
      <x:c r="T65" s="6" t="str">
        <x:v>RD</x:v>
      </x:c>
      <x:c r="U65" s="6" t="str">
        <x:v>=FC01+CP01-X24:+24V</x:v>
      </x:c>
      <x:c r="V65" s="6" t="str">
        <x:v>Controlled Rev-D topology; conductor size/terminal family and native QET continuity verification remain open</x:v>
      </x:c>
    </x:row>
    <x:row r="66" ht="27" customHeight="1">
      <x:c r="A66" s="6" t="str">
        <x:v>GATE_CLOSE_CMD</x:v>
      </x:c>
      <x:c r="B66" s="6" t="str">
        <x:v>Relay contact 14 to field load</x:v>
      </x:c>
      <x:c r="C66" s="6" t="str">
        <x:v>-YV100</x:v>
      </x:c>
      <x:c r="D66" s="6" t="str">
        <x:v>=FC01+FLD-YV100</x:v>
      </x:c>
      <x:c r="E66" s="6" t="str">
        <x:v>3</x:v>
      </x:c>
      <x:c r="F66" s="6" t="str">
        <x:v>C017</x:v>
      </x:c>
      <x:c r="G66" s="6" t="str">
        <x:v>3</x:v>
      </x:c>
      <x:c r="H66" s="6" t="str">
        <x:v>-YV100:3</x:v>
      </x:c>
      <x:c r="I66" s="6" t="str">
        <x:v>X102:3</x:v>
      </x:c>
      <x:c r="J66" s="6" t="str">
        <x:v>W0065</x:v>
      </x:c>
      <x:c r="K66" s="6" t="str">
        <x:v>-K205</x:v>
      </x:c>
      <x:c r="L66" s="6" t="str">
        <x:v>-A103</x:v>
      </x:c>
      <x:c r="M66" s="6" t="str">
        <x:v>=FC01+CP01-A103</x:v>
      </x:c>
      <x:c r="N66" s="6" t="str">
        <x:v>5</x:v>
      </x:c>
      <x:c r="O66" s="6" t="str">
        <x:v>Q0.5</x:v>
      </x:c>
      <x:c r="P66" s="6" t="str">
        <x:v>+24VDC switched</x:v>
      </x:c>
      <x:c r="Q66" s="6" t="str"/>
      <x:c r="R66" s="6" t="str"/>
      <x:c r="S66" s="6" t="str"/>
      <x:c r="T66" s="6" t="str">
        <x:v>BK</x:v>
      </x:c>
      <x:c r="U66" s="6" t="str">
        <x:v>=FC01+CP01-K205:14</x:v>
      </x:c>
      <x:c r="V66" s="6" t="str">
        <x:v>Controlled Rev-D topology; conductor size/terminal family and native QET continuity verification remain open</x:v>
      </x:c>
    </x:row>
    <x:row r="67" ht="27" customHeight="1">
      <x:c r="A67" s="6" t="str">
        <x:v>GATE_CLOSE_CMD</x:v>
      </x:c>
      <x:c r="B67" s="6" t="str">
        <x:v>Field load return</x:v>
      </x:c>
      <x:c r="C67" s="6" t="str">
        <x:v>-YV100</x:v>
      </x:c>
      <x:c r="D67" s="6" t="str">
        <x:v>=FC01+FLD-YV100</x:v>
      </x:c>
      <x:c r="E67" s="6" t="str">
        <x:v>4</x:v>
      </x:c>
      <x:c r="F67" s="6" t="str">
        <x:v>C017</x:v>
      </x:c>
      <x:c r="G67" s="6" t="str">
        <x:v>4</x:v>
      </x:c>
      <x:c r="H67" s="6" t="str">
        <x:v>-YV100:4</x:v>
      </x:c>
      <x:c r="I67" s="6" t="str">
        <x:v>X102:4</x:v>
      </x:c>
      <x:c r="J67" s="6" t="str">
        <x:v>W0066</x:v>
      </x:c>
      <x:c r="K67" s="6" t="str">
        <x:v>-K205</x:v>
      </x:c>
      <x:c r="L67" s="6" t="str">
        <x:v>-A103</x:v>
      </x:c>
      <x:c r="M67" s="6" t="str">
        <x:v>=FC01+CP01-A103</x:v>
      </x:c>
      <x:c r="N67" s="6" t="str">
        <x:v>5</x:v>
      </x:c>
      <x:c r="O67" s="6" t="str">
        <x:v>Q0.5</x:v>
      </x:c>
      <x:c r="P67" s="6" t="str">
        <x:v>0V</x:v>
      </x:c>
      <x:c r="Q67" s="6" t="str">
        <x:v>X0:0V</x:v>
      </x:c>
      <x:c r="R67" s="6" t="str"/>
      <x:c r="S67" s="6" t="str"/>
      <x:c r="T67" s="6" t="str">
        <x:v>BU</x:v>
      </x:c>
      <x:c r="U67" s="6" t="str">
        <x:v>=FC01+CP01-X0:0V</x:v>
      </x:c>
      <x:c r="V67" s="6" t="str">
        <x:v>Controlled Rev-D topology; conductor size/terminal family and native QET continuity verification remain open</x:v>
      </x:c>
    </x:row>
    <x:row r="68" ht="27" customHeight="1">
      <x:c r="A68" s="6" t="str">
        <x:v>CLAMP_ENGAGE_CMD</x:v>
      </x:c>
      <x:c r="B68" s="6" t="str">
        <x:v>PLC output to relay coil</x:v>
      </x:c>
      <x:c r="C68" s="6" t="str">
        <x:v>-K206</x:v>
      </x:c>
      <x:c r="D68" s="6" t="str">
        <x:v>=FC01+CP01-K206</x:v>
      </x:c>
      <x:c r="E68" s="6" t="str">
        <x:v>A1</x:v>
      </x:c>
      <x:c r="F68" s="6" t="str"/>
      <x:c r="G68" s="6" t="str"/>
      <x:c r="H68" s="6" t="str">
        <x:v>-K206:A1</x:v>
      </x:c>
      <x:c r="I68" s="6" t="str"/>
      <x:c r="J68" s="6" t="str">
        <x:v>W0067</x:v>
      </x:c>
      <x:c r="K68" s="6" t="str">
        <x:v>-K206</x:v>
      </x:c>
      <x:c r="L68" s="6" t="str">
        <x:v>-A103</x:v>
      </x:c>
      <x:c r="M68" s="6" t="str">
        <x:v>=FC01+CP01-A103</x:v>
      </x:c>
      <x:c r="N68" s="6" t="str">
        <x:v>6</x:v>
      </x:c>
      <x:c r="O68" s="6" t="str">
        <x:v>Q0.6</x:v>
      </x:c>
      <x:c r="P68" s="6" t="str">
        <x:v>24 VDC switched</x:v>
      </x:c>
      <x:c r="Q68" s="6" t="str"/>
      <x:c r="R68" s="6" t="str"/>
      <x:c r="S68" s="6" t="str"/>
      <x:c r="T68" s="6" t="str">
        <x:v>BK</x:v>
      </x:c>
      <x:c r="U68" s="6" t="str">
        <x:v>=FC01+CP01-A103:6</x:v>
      </x:c>
      <x:c r="V68" s="6" t="str">
        <x:v>Controlled Rev-D topology; conductor size/terminal family and native QET continuity verification remain open</x:v>
      </x:c>
    </x:row>
    <x:row r="69" ht="27" customHeight="1">
      <x:c r="A69" s="6" t="str">
        <x:v>CLAMP_ENGAGE_CMD</x:v>
      </x:c>
      <x:c r="B69" s="6" t="str">
        <x:v>Relay coil return</x:v>
      </x:c>
      <x:c r="C69" s="6" t="str">
        <x:v>-K206</x:v>
      </x:c>
      <x:c r="D69" s="6" t="str">
        <x:v>=FC01+CP01-K206</x:v>
      </x:c>
      <x:c r="E69" s="6" t="str">
        <x:v>A2</x:v>
      </x:c>
      <x:c r="F69" s="6" t="str"/>
      <x:c r="G69" s="6" t="str"/>
      <x:c r="H69" s="6" t="str">
        <x:v>-K206:A2</x:v>
      </x:c>
      <x:c r="I69" s="6" t="str"/>
      <x:c r="J69" s="6" t="str">
        <x:v>W0068</x:v>
      </x:c>
      <x:c r="K69" s="6" t="str">
        <x:v>-K206</x:v>
      </x:c>
      <x:c r="L69" s="6" t="str">
        <x:v>-A103</x:v>
      </x:c>
      <x:c r="M69" s="6" t="str">
        <x:v>=FC01+CP01-A103</x:v>
      </x:c>
      <x:c r="N69" s="6" t="str">
        <x:v>6</x:v>
      </x:c>
      <x:c r="O69" s="6" t="str">
        <x:v>Q0.6</x:v>
      </x:c>
      <x:c r="P69" s="6" t="str">
        <x:v>0V</x:v>
      </x:c>
      <x:c r="Q69" s="6" t="str">
        <x:v>X0:0V</x:v>
      </x:c>
      <x:c r="R69" s="6" t="str"/>
      <x:c r="S69" s="6" t="str"/>
      <x:c r="T69" s="6" t="str">
        <x:v>BU</x:v>
      </x:c>
      <x:c r="U69" s="6" t="str">
        <x:v>=FC01+CP01-X0:0V</x:v>
      </x:c>
      <x:c r="V69" s="6" t="str">
        <x:v>Controlled Rev-D topology; conductor size/terminal family and native QET continuity verification remain open</x:v>
      </x:c>
    </x:row>
    <x:row r="70" ht="27" customHeight="1">
      <x:c r="A70" s="6" t="str">
        <x:v>CLAMP_ENGAGE_CMD</x:v>
      </x:c>
      <x:c r="B70" s="6" t="str">
        <x:v>Relay contact supply</x:v>
      </x:c>
      <x:c r="C70" s="6" t="str">
        <x:v>-K206</x:v>
      </x:c>
      <x:c r="D70" s="6" t="str">
        <x:v>=FC01+CP01-K206</x:v>
      </x:c>
      <x:c r="E70" s="6" t="str">
        <x:v>13</x:v>
      </x:c>
      <x:c r="F70" s="6" t="str"/>
      <x:c r="G70" s="6" t="str"/>
      <x:c r="H70" s="6" t="str">
        <x:v>-K206:13</x:v>
      </x:c>
      <x:c r="I70" s="6" t="str"/>
      <x:c r="J70" s="6" t="str">
        <x:v>W0069</x:v>
      </x:c>
      <x:c r="K70" s="6" t="str">
        <x:v>-K206</x:v>
      </x:c>
      <x:c r="L70" s="6" t="str">
        <x:v>-A103</x:v>
      </x:c>
      <x:c r="M70" s="6" t="str">
        <x:v>=FC01+CP01-A103</x:v>
      </x:c>
      <x:c r="N70" s="6" t="str">
        <x:v>6</x:v>
      </x:c>
      <x:c r="O70" s="6" t="str">
        <x:v>Q0.6</x:v>
      </x:c>
      <x:c r="P70" s="6" t="str">
        <x:v>+24VDC fused</x:v>
      </x:c>
      <x:c r="Q70" s="6" t="str"/>
      <x:c r="R70" s="6" t="str"/>
      <x:c r="S70" s="6" t="str"/>
      <x:c r="T70" s="6" t="str">
        <x:v>RD</x:v>
      </x:c>
      <x:c r="U70" s="6" t="str">
        <x:v>=FC01+CP01-X24:+24V</x:v>
      </x:c>
      <x:c r="V70" s="6" t="str">
        <x:v>Controlled Rev-D topology; conductor size/terminal family and native QET continuity verification remain open</x:v>
      </x:c>
    </x:row>
    <x:row r="71" ht="27" customHeight="1">
      <x:c r="A71" s="6" t="str">
        <x:v>CLAMP_ENGAGE_CMD</x:v>
      </x:c>
      <x:c r="B71" s="6" t="str">
        <x:v>Relay contact 14 to field load</x:v>
      </x:c>
      <x:c r="C71" s="6" t="str">
        <x:v>-YV101</x:v>
      </x:c>
      <x:c r="D71" s="6" t="str">
        <x:v>=FC01+FLD-YV101</x:v>
      </x:c>
      <x:c r="E71" s="6" t="str">
        <x:v>1</x:v>
      </x:c>
      <x:c r="F71" s="6" t="str">
        <x:v>C018</x:v>
      </x:c>
      <x:c r="G71" s="6" t="str">
        <x:v>1</x:v>
      </x:c>
      <x:c r="H71" s="6" t="str">
        <x:v>-YV101:1</x:v>
      </x:c>
      <x:c r="I71" s="6" t="str">
        <x:v>X102:5</x:v>
      </x:c>
      <x:c r="J71" s="6" t="str">
        <x:v>W0070</x:v>
      </x:c>
      <x:c r="K71" s="6" t="str">
        <x:v>-K206</x:v>
      </x:c>
      <x:c r="L71" s="6" t="str">
        <x:v>-A103</x:v>
      </x:c>
      <x:c r="M71" s="6" t="str">
        <x:v>=FC01+CP01-A103</x:v>
      </x:c>
      <x:c r="N71" s="6" t="str">
        <x:v>6</x:v>
      </x:c>
      <x:c r="O71" s="6" t="str">
        <x:v>Q0.6</x:v>
      </x:c>
      <x:c r="P71" s="6" t="str">
        <x:v>+24VDC switched</x:v>
      </x:c>
      <x:c r="Q71" s="6" t="str"/>
      <x:c r="R71" s="6" t="str"/>
      <x:c r="S71" s="6" t="str"/>
      <x:c r="T71" s="6" t="str">
        <x:v>BK</x:v>
      </x:c>
      <x:c r="U71" s="6" t="str">
        <x:v>=FC01+CP01-K206:14</x:v>
      </x:c>
      <x:c r="V71" s="6" t="str">
        <x:v>Controlled Rev-D topology; conductor size/terminal family and native QET continuity verification remain open</x:v>
      </x:c>
    </x:row>
    <x:row r="72" ht="27" customHeight="1">
      <x:c r="A72" s="6" t="str">
        <x:v>CLAMP_ENGAGE_CMD</x:v>
      </x:c>
      <x:c r="B72" s="6" t="str">
        <x:v>Field load return</x:v>
      </x:c>
      <x:c r="C72" s="6" t="str">
        <x:v>-YV101</x:v>
      </x:c>
      <x:c r="D72" s="6" t="str">
        <x:v>=FC01+FLD-YV101</x:v>
      </x:c>
      <x:c r="E72" s="6" t="str">
        <x:v>2</x:v>
      </x:c>
      <x:c r="F72" s="6" t="str">
        <x:v>C018</x:v>
      </x:c>
      <x:c r="G72" s="6" t="str">
        <x:v>2</x:v>
      </x:c>
      <x:c r="H72" s="6" t="str">
        <x:v>-YV101:2</x:v>
      </x:c>
      <x:c r="I72" s="6" t="str">
        <x:v>X102:6</x:v>
      </x:c>
      <x:c r="J72" s="6" t="str">
        <x:v>W0071</x:v>
      </x:c>
      <x:c r="K72" s="6" t="str">
        <x:v>-K206</x:v>
      </x:c>
      <x:c r="L72" s="6" t="str">
        <x:v>-A103</x:v>
      </x:c>
      <x:c r="M72" s="6" t="str">
        <x:v>=FC01+CP01-A103</x:v>
      </x:c>
      <x:c r="N72" s="6" t="str">
        <x:v>6</x:v>
      </x:c>
      <x:c r="O72" s="6" t="str">
        <x:v>Q0.6</x:v>
      </x:c>
      <x:c r="P72" s="6" t="str">
        <x:v>0V</x:v>
      </x:c>
      <x:c r="Q72" s="6" t="str">
        <x:v>X0:0V</x:v>
      </x:c>
      <x:c r="R72" s="6" t="str"/>
      <x:c r="S72" s="6" t="str"/>
      <x:c r="T72" s="6" t="str">
        <x:v>BU</x:v>
      </x:c>
      <x:c r="U72" s="6" t="str">
        <x:v>=FC01+CP01-X0:0V</x:v>
      </x:c>
      <x:c r="V72" s="6" t="str">
        <x:v>Controlled Rev-D topology; conductor size/terminal family and native QET continuity verification remain open</x:v>
      </x:c>
    </x:row>
    <x:row r="73" ht="27" customHeight="1">
      <x:c r="A73" s="6" t="str">
        <x:v>CLAMP_RELEASE_CMD</x:v>
      </x:c>
      <x:c r="B73" s="6" t="str">
        <x:v>PLC output to relay coil</x:v>
      </x:c>
      <x:c r="C73" s="6" t="str">
        <x:v>-K207</x:v>
      </x:c>
      <x:c r="D73" s="6" t="str">
        <x:v>=FC01+CP01-K207</x:v>
      </x:c>
      <x:c r="E73" s="6" t="str">
        <x:v>A1</x:v>
      </x:c>
      <x:c r="F73" s="6" t="str"/>
      <x:c r="G73" s="6" t="str"/>
      <x:c r="H73" s="6" t="str">
        <x:v>-K207:A1</x:v>
      </x:c>
      <x:c r="I73" s="6" t="str"/>
      <x:c r="J73" s="6" t="str">
        <x:v>W0072</x:v>
      </x:c>
      <x:c r="K73" s="6" t="str">
        <x:v>-K207</x:v>
      </x:c>
      <x:c r="L73" s="6" t="str">
        <x:v>-A103</x:v>
      </x:c>
      <x:c r="M73" s="6" t="str">
        <x:v>=FC01+CP01-A103</x:v>
      </x:c>
      <x:c r="N73" s="6" t="str">
        <x:v>7</x:v>
      </x:c>
      <x:c r="O73" s="6" t="str">
        <x:v>Q0.7</x:v>
      </x:c>
      <x:c r="P73" s="6" t="str">
        <x:v>24 VDC switched</x:v>
      </x:c>
      <x:c r="Q73" s="6" t="str"/>
      <x:c r="R73" s="6" t="str"/>
      <x:c r="S73" s="6" t="str"/>
      <x:c r="T73" s="6" t="str">
        <x:v>BK</x:v>
      </x:c>
      <x:c r="U73" s="6" t="str">
        <x:v>=FC01+CP01-A103:7</x:v>
      </x:c>
      <x:c r="V73" s="6" t="str">
        <x:v>Controlled Rev-D topology; conductor size/terminal family and native QET continuity verification remain open</x:v>
      </x:c>
    </x:row>
    <x:row r="74" ht="27" customHeight="1">
      <x:c r="A74" s="6" t="str">
        <x:v>CLAMP_RELEASE_CMD</x:v>
      </x:c>
      <x:c r="B74" s="6" t="str">
        <x:v>Relay coil return</x:v>
      </x:c>
      <x:c r="C74" s="6" t="str">
        <x:v>-K207</x:v>
      </x:c>
      <x:c r="D74" s="6" t="str">
        <x:v>=FC01+CP01-K207</x:v>
      </x:c>
      <x:c r="E74" s="6" t="str">
        <x:v>A2</x:v>
      </x:c>
      <x:c r="F74" s="6" t="str"/>
      <x:c r="G74" s="6" t="str"/>
      <x:c r="H74" s="6" t="str">
        <x:v>-K207:A2</x:v>
      </x:c>
      <x:c r="I74" s="6" t="str"/>
      <x:c r="J74" s="6" t="str">
        <x:v>W0073</x:v>
      </x:c>
      <x:c r="K74" s="6" t="str">
        <x:v>-K207</x:v>
      </x:c>
      <x:c r="L74" s="6" t="str">
        <x:v>-A103</x:v>
      </x:c>
      <x:c r="M74" s="6" t="str">
        <x:v>=FC01+CP01-A103</x:v>
      </x:c>
      <x:c r="N74" s="6" t="str">
        <x:v>7</x:v>
      </x:c>
      <x:c r="O74" s="6" t="str">
        <x:v>Q0.7</x:v>
      </x:c>
      <x:c r="P74" s="6" t="str">
        <x:v>0V</x:v>
      </x:c>
      <x:c r="Q74" s="6" t="str">
        <x:v>X0:0V</x:v>
      </x:c>
      <x:c r="R74" s="6" t="str"/>
      <x:c r="S74" s="6" t="str"/>
      <x:c r="T74" s="6" t="str">
        <x:v>BU</x:v>
      </x:c>
      <x:c r="U74" s="6" t="str">
        <x:v>=FC01+CP01-X0:0V</x:v>
      </x:c>
      <x:c r="V74" s="6" t="str">
        <x:v>Controlled Rev-D topology; conductor size/terminal family and native QET continuity verification remain open</x:v>
      </x:c>
    </x:row>
    <x:row r="75" ht="27" customHeight="1">
      <x:c r="A75" s="6" t="str">
        <x:v>CLAMP_RELEASE_CMD</x:v>
      </x:c>
      <x:c r="B75" s="6" t="str">
        <x:v>Relay contact supply</x:v>
      </x:c>
      <x:c r="C75" s="6" t="str">
        <x:v>-K207</x:v>
      </x:c>
      <x:c r="D75" s="6" t="str">
        <x:v>=FC01+CP01-K207</x:v>
      </x:c>
      <x:c r="E75" s="6" t="str">
        <x:v>13</x:v>
      </x:c>
      <x:c r="F75" s="6" t="str"/>
      <x:c r="G75" s="6" t="str"/>
      <x:c r="H75" s="6" t="str">
        <x:v>-K207:13</x:v>
      </x:c>
      <x:c r="I75" s="6" t="str"/>
      <x:c r="J75" s="6" t="str">
        <x:v>W0074</x:v>
      </x:c>
      <x:c r="K75" s="6" t="str">
        <x:v>-K207</x:v>
      </x:c>
      <x:c r="L75" s="6" t="str">
        <x:v>-A103</x:v>
      </x:c>
      <x:c r="M75" s="6" t="str">
        <x:v>=FC01+CP01-A103</x:v>
      </x:c>
      <x:c r="N75" s="6" t="str">
        <x:v>7</x:v>
      </x:c>
      <x:c r="O75" s="6" t="str">
        <x:v>Q0.7</x:v>
      </x:c>
      <x:c r="P75" s="6" t="str">
        <x:v>+24VDC fused</x:v>
      </x:c>
      <x:c r="Q75" s="6" t="str"/>
      <x:c r="R75" s="6" t="str"/>
      <x:c r="S75" s="6" t="str"/>
      <x:c r="T75" s="6" t="str">
        <x:v>RD</x:v>
      </x:c>
      <x:c r="U75" s="6" t="str">
        <x:v>=FC01+CP01-X24:+24V</x:v>
      </x:c>
      <x:c r="V75" s="6" t="str">
        <x:v>Controlled Rev-D topology; conductor size/terminal family and native QET continuity verification remain open</x:v>
      </x:c>
    </x:row>
    <x:row r="76" ht="27" customHeight="1">
      <x:c r="A76" s="6" t="str">
        <x:v>CLAMP_RELEASE_CMD</x:v>
      </x:c>
      <x:c r="B76" s="6" t="str">
        <x:v>Relay contact 14 to field load</x:v>
      </x:c>
      <x:c r="C76" s="6" t="str">
        <x:v>-YV101</x:v>
      </x:c>
      <x:c r="D76" s="6" t="str">
        <x:v>=FC01+FLD-YV101</x:v>
      </x:c>
      <x:c r="E76" s="6" t="str">
        <x:v>3</x:v>
      </x:c>
      <x:c r="F76" s="6" t="str">
        <x:v>C018</x:v>
      </x:c>
      <x:c r="G76" s="6" t="str">
        <x:v>3</x:v>
      </x:c>
      <x:c r="H76" s="6" t="str">
        <x:v>-YV101:3</x:v>
      </x:c>
      <x:c r="I76" s="6" t="str">
        <x:v>X102:7</x:v>
      </x:c>
      <x:c r="J76" s="6" t="str">
        <x:v>W0075</x:v>
      </x:c>
      <x:c r="K76" s="6" t="str">
        <x:v>-K207</x:v>
      </x:c>
      <x:c r="L76" s="6" t="str">
        <x:v>-A103</x:v>
      </x:c>
      <x:c r="M76" s="6" t="str">
        <x:v>=FC01+CP01-A103</x:v>
      </x:c>
      <x:c r="N76" s="6" t="str">
        <x:v>7</x:v>
      </x:c>
      <x:c r="O76" s="6" t="str">
        <x:v>Q0.7</x:v>
      </x:c>
      <x:c r="P76" s="6" t="str">
        <x:v>+24VDC switched</x:v>
      </x:c>
      <x:c r="Q76" s="6" t="str"/>
      <x:c r="R76" s="6" t="str"/>
      <x:c r="S76" s="6" t="str"/>
      <x:c r="T76" s="6" t="str">
        <x:v>BK</x:v>
      </x:c>
      <x:c r="U76" s="6" t="str">
        <x:v>=FC01+CP01-K207:14</x:v>
      </x:c>
      <x:c r="V76" s="6" t="str">
        <x:v>Controlled Rev-D topology; conductor size/terminal family and native QET continuity verification remain open</x:v>
      </x:c>
    </x:row>
    <x:row r="77" ht="27" customHeight="1">
      <x:c r="A77" s="6" t="str">
        <x:v>CLAMP_RELEASE_CMD</x:v>
      </x:c>
      <x:c r="B77" s="6" t="str">
        <x:v>Field load return</x:v>
      </x:c>
      <x:c r="C77" s="6" t="str">
        <x:v>-YV101</x:v>
      </x:c>
      <x:c r="D77" s="6" t="str">
        <x:v>=FC01+FLD-YV101</x:v>
      </x:c>
      <x:c r="E77" s="6" t="str">
        <x:v>4</x:v>
      </x:c>
      <x:c r="F77" s="6" t="str">
        <x:v>C018</x:v>
      </x:c>
      <x:c r="G77" s="6" t="str">
        <x:v>4</x:v>
      </x:c>
      <x:c r="H77" s="6" t="str">
        <x:v>-YV101:4</x:v>
      </x:c>
      <x:c r="I77" s="6" t="str">
        <x:v>X102:8</x:v>
      </x:c>
      <x:c r="J77" s="6" t="str">
        <x:v>W0076</x:v>
      </x:c>
      <x:c r="K77" s="6" t="str">
        <x:v>-K207</x:v>
      </x:c>
      <x:c r="L77" s="6" t="str">
        <x:v>-A103</x:v>
      </x:c>
      <x:c r="M77" s="6" t="str">
        <x:v>=FC01+CP01-A103</x:v>
      </x:c>
      <x:c r="N77" s="6" t="str">
        <x:v>7</x:v>
      </x:c>
      <x:c r="O77" s="6" t="str">
        <x:v>Q0.7</x:v>
      </x:c>
      <x:c r="P77" s="6" t="str">
        <x:v>0V</x:v>
      </x:c>
      <x:c r="Q77" s="6" t="str">
        <x:v>X0:0V</x:v>
      </x:c>
      <x:c r="R77" s="6" t="str"/>
      <x:c r="S77" s="6" t="str"/>
      <x:c r="T77" s="6" t="str">
        <x:v>BU</x:v>
      </x:c>
      <x:c r="U77" s="6" t="str">
        <x:v>=FC01+CP01-X0:0V</x:v>
      </x:c>
      <x:c r="V77" s="6" t="str">
        <x:v>Controlled Rev-D topology; conductor size/terminal family and native QET continuity verification remain open</x:v>
      </x:c>
    </x:row>
    <x:row r="78" ht="27" customHeight="1">
      <x:c r="A78" s="6" t="str">
        <x:v>CAPPER_REQUEST</x:v>
      </x:c>
      <x:c r="B78" s="6" t="str">
        <x:v>PLC output to relay coil</x:v>
      </x:c>
      <x:c r="C78" s="6" t="str">
        <x:v>-K208</x:v>
      </x:c>
      <x:c r="D78" s="6" t="str">
        <x:v>=FC01+CP01-K208</x:v>
      </x:c>
      <x:c r="E78" s="6" t="str">
        <x:v>A1</x:v>
      </x:c>
      <x:c r="F78" s="6" t="str"/>
      <x:c r="G78" s="6" t="str"/>
      <x:c r="H78" s="6" t="str">
        <x:v>-K208:A1</x:v>
      </x:c>
      <x:c r="I78" s="6" t="str"/>
      <x:c r="J78" s="6" t="str">
        <x:v>W0077</x:v>
      </x:c>
      <x:c r="K78" s="6" t="str">
        <x:v>-K208</x:v>
      </x:c>
      <x:c r="L78" s="6" t="str">
        <x:v>-A103</x:v>
      </x:c>
      <x:c r="M78" s="6" t="str">
        <x:v>=FC01+CP01-A103</x:v>
      </x:c>
      <x:c r="N78" s="6" t="str">
        <x:v>8</x:v>
      </x:c>
      <x:c r="O78" s="6" t="str">
        <x:v>Q1.0</x:v>
      </x:c>
      <x:c r="P78" s="6" t="str">
        <x:v>24 VDC switched</x:v>
      </x:c>
      <x:c r="Q78" s="6" t="str"/>
      <x:c r="R78" s="6" t="str"/>
      <x:c r="S78" s="6" t="str"/>
      <x:c r="T78" s="6" t="str">
        <x:v>BK</x:v>
      </x:c>
      <x:c r="U78" s="6" t="str">
        <x:v>=FC01+CP01-A103:8</x:v>
      </x:c>
      <x:c r="V78" s="6" t="str">
        <x:v>Controlled Rev-D topology; conductor size/terminal family and native QET continuity verification remain open</x:v>
      </x:c>
    </x:row>
    <x:row r="79" ht="27" customHeight="1">
      <x:c r="A79" s="6" t="str">
        <x:v>CAPPER_REQUEST</x:v>
      </x:c>
      <x:c r="B79" s="6" t="str">
        <x:v>Relay coil return</x:v>
      </x:c>
      <x:c r="C79" s="6" t="str">
        <x:v>-K208</x:v>
      </x:c>
      <x:c r="D79" s="6" t="str">
        <x:v>=FC01+CP01-K208</x:v>
      </x:c>
      <x:c r="E79" s="6" t="str">
        <x:v>A2</x:v>
      </x:c>
      <x:c r="F79" s="6" t="str"/>
      <x:c r="G79" s="6" t="str"/>
      <x:c r="H79" s="6" t="str">
        <x:v>-K208:A2</x:v>
      </x:c>
      <x:c r="I79" s="6" t="str"/>
      <x:c r="J79" s="6" t="str">
        <x:v>W0078</x:v>
      </x:c>
      <x:c r="K79" s="6" t="str">
        <x:v>-K208</x:v>
      </x:c>
      <x:c r="L79" s="6" t="str">
        <x:v>-A103</x:v>
      </x:c>
      <x:c r="M79" s="6" t="str">
        <x:v>=FC01+CP01-A103</x:v>
      </x:c>
      <x:c r="N79" s="6" t="str">
        <x:v>8</x:v>
      </x:c>
      <x:c r="O79" s="6" t="str">
        <x:v>Q1.0</x:v>
      </x:c>
      <x:c r="P79" s="6" t="str">
        <x:v>0V</x:v>
      </x:c>
      <x:c r="Q79" s="6" t="str">
        <x:v>X0:0V</x:v>
      </x:c>
      <x:c r="R79" s="6" t="str"/>
      <x:c r="S79" s="6" t="str"/>
      <x:c r="T79" s="6" t="str">
        <x:v>BU</x:v>
      </x:c>
      <x:c r="U79" s="6" t="str">
        <x:v>=FC01+CP01-X0:0V</x:v>
      </x:c>
      <x:c r="V79" s="6" t="str">
        <x:v>Controlled Rev-D topology; conductor size/terminal family and native QET continuity verification remain open</x:v>
      </x:c>
    </x:row>
    <x:row r="80" ht="27" customHeight="1">
      <x:c r="A80" s="6" t="str">
        <x:v>CAPPER_REQUEST</x:v>
      </x:c>
      <x:c r="B80" s="6" t="str">
        <x:v>Relay contact supply</x:v>
      </x:c>
      <x:c r="C80" s="6" t="str">
        <x:v>-K208</x:v>
      </x:c>
      <x:c r="D80" s="6" t="str">
        <x:v>=FC01+CP01-K208</x:v>
      </x:c>
      <x:c r="E80" s="6" t="str">
        <x:v>13</x:v>
      </x:c>
      <x:c r="F80" s="6" t="str"/>
      <x:c r="G80" s="6" t="str"/>
      <x:c r="H80" s="6" t="str">
        <x:v>-K208:13</x:v>
      </x:c>
      <x:c r="I80" s="6" t="str"/>
      <x:c r="J80" s="6" t="str">
        <x:v>W0079</x:v>
      </x:c>
      <x:c r="K80" s="6" t="str">
        <x:v>-K208</x:v>
      </x:c>
      <x:c r="L80" s="6" t="str">
        <x:v>-A103</x:v>
      </x:c>
      <x:c r="M80" s="6" t="str">
        <x:v>=FC01+CP01-A103</x:v>
      </x:c>
      <x:c r="N80" s="6" t="str">
        <x:v>8</x:v>
      </x:c>
      <x:c r="O80" s="6" t="str">
        <x:v>Q1.0</x:v>
      </x:c>
      <x:c r="P80" s="6" t="str">
        <x:v>+24VDC fused</x:v>
      </x:c>
      <x:c r="Q80" s="6" t="str"/>
      <x:c r="R80" s="6" t="str"/>
      <x:c r="S80" s="6" t="str"/>
      <x:c r="T80" s="6" t="str">
        <x:v>RD</x:v>
      </x:c>
      <x:c r="U80" s="6" t="str">
        <x:v>=FC01+CP01-X24:+24V</x:v>
      </x:c>
      <x:c r="V80" s="6" t="str">
        <x:v>Controlled Rev-D topology; conductor size/terminal family and native QET continuity verification remain open</x:v>
      </x:c>
    </x:row>
    <x:row r="81" ht="27" customHeight="1">
      <x:c r="A81" s="6" t="str">
        <x:v>CAPPER_REQUEST</x:v>
      </x:c>
      <x:c r="B81" s="6" t="str">
        <x:v>Relay contact 14 to field load</x:v>
      </x:c>
      <x:c r="C81" s="6" t="str">
        <x:v>-IF140</x:v>
      </x:c>
      <x:c r="D81" s="6" t="str">
        <x:v>=FC01+FLD-IF140</x:v>
      </x:c>
      <x:c r="E81" s="6" t="str">
        <x:v>8</x:v>
      </x:c>
      <x:c r="F81" s="6" t="str">
        <x:v>C012</x:v>
      </x:c>
      <x:c r="G81" s="6" t="str">
        <x:v>7</x:v>
      </x:c>
      <x:c r="H81" s="6" t="str">
        <x:v>-IF140:8</x:v>
      </x:c>
      <x:c r="I81" s="6" t="str">
        <x:v>X102:9</x:v>
      </x:c>
      <x:c r="J81" s="6" t="str">
        <x:v>W0080</x:v>
      </x:c>
      <x:c r="K81" s="6" t="str">
        <x:v>-K208</x:v>
      </x:c>
      <x:c r="L81" s="6" t="str">
        <x:v>-A103</x:v>
      </x:c>
      <x:c r="M81" s="6" t="str">
        <x:v>=FC01+CP01-A103</x:v>
      </x:c>
      <x:c r="N81" s="6" t="str">
        <x:v>8</x:v>
      </x:c>
      <x:c r="O81" s="6" t="str">
        <x:v>Q1.0</x:v>
      </x:c>
      <x:c r="P81" s="6" t="str">
        <x:v>+24VDC switched</x:v>
      </x:c>
      <x:c r="Q81" s="6" t="str"/>
      <x:c r="R81" s="6" t="str"/>
      <x:c r="S81" s="6" t="str"/>
      <x:c r="T81" s="6" t="str">
        <x:v>BK</x:v>
      </x:c>
      <x:c r="U81" s="6" t="str">
        <x:v>=FC01+CP01-K208:14</x:v>
      </x:c>
      <x:c r="V81" s="6" t="str">
        <x:v>Controlled Rev-D topology; conductor size/terminal family and native QET continuity verification remain open</x:v>
      </x:c>
    </x:row>
    <x:row r="82" ht="27" customHeight="1">
      <x:c r="A82" s="6" t="str">
        <x:v>CAPPER_REQUEST</x:v>
      </x:c>
      <x:c r="B82" s="6" t="str">
        <x:v>Field load return</x:v>
      </x:c>
      <x:c r="C82" s="6" t="str">
        <x:v>-IF140</x:v>
      </x:c>
      <x:c r="D82" s="6" t="str">
        <x:v>=FC01+FLD-IF140</x:v>
      </x:c>
      <x:c r="E82" s="6" t="str">
        <x:v>9</x:v>
      </x:c>
      <x:c r="F82" s="6" t="str">
        <x:v>C012</x:v>
      </x:c>
      <x:c r="G82" s="6" t="str">
        <x:v>8</x:v>
      </x:c>
      <x:c r="H82" s="6" t="str">
        <x:v>-IF140:9</x:v>
      </x:c>
      <x:c r="I82" s="6" t="str">
        <x:v>X102:10</x:v>
      </x:c>
      <x:c r="J82" s="6" t="str">
        <x:v>W0081</x:v>
      </x:c>
      <x:c r="K82" s="6" t="str">
        <x:v>-K208</x:v>
      </x:c>
      <x:c r="L82" s="6" t="str">
        <x:v>-A103</x:v>
      </x:c>
      <x:c r="M82" s="6" t="str">
        <x:v>=FC01+CP01-A103</x:v>
      </x:c>
      <x:c r="N82" s="6" t="str">
        <x:v>8</x:v>
      </x:c>
      <x:c r="O82" s="6" t="str">
        <x:v>Q1.0</x:v>
      </x:c>
      <x:c r="P82" s="6" t="str">
        <x:v>0V</x:v>
      </x:c>
      <x:c r="Q82" s="6" t="str">
        <x:v>X0:0V</x:v>
      </x:c>
      <x:c r="R82" s="6" t="str"/>
      <x:c r="S82" s="6" t="str"/>
      <x:c r="T82" s="6" t="str">
        <x:v>BU</x:v>
      </x:c>
      <x:c r="U82" s="6" t="str">
        <x:v>=FC01+CP01-X0:0V</x:v>
      </x:c>
      <x:c r="V82" s="6" t="str">
        <x:v>Controlled Rev-D topology; conductor size/terminal family and native QET continuity verification remain open</x:v>
      </x:c>
    </x:row>
    <x:row r="83" ht="27" customHeight="1">
      <x:c r="A83" s="6" t="str">
        <x:v>STACK_GREEN</x:v>
      </x:c>
      <x:c r="B83" s="6" t="str">
        <x:v>PLC output to relay coil</x:v>
      </x:c>
      <x:c r="C83" s="6" t="str">
        <x:v>-K209</x:v>
      </x:c>
      <x:c r="D83" s="6" t="str">
        <x:v>=FC01+CP01-K209</x:v>
      </x:c>
      <x:c r="E83" s="6" t="str">
        <x:v>A1</x:v>
      </x:c>
      <x:c r="F83" s="6" t="str"/>
      <x:c r="G83" s="6" t="str"/>
      <x:c r="H83" s="6" t="str">
        <x:v>-K209:A1</x:v>
      </x:c>
      <x:c r="I83" s="6" t="str"/>
      <x:c r="J83" s="6" t="str">
        <x:v>W0082</x:v>
      </x:c>
      <x:c r="K83" s="6" t="str">
        <x:v>-K209</x:v>
      </x:c>
      <x:c r="L83" s="6" t="str">
        <x:v>-A103</x:v>
      </x:c>
      <x:c r="M83" s="6" t="str">
        <x:v>=FC01+CP01-A103</x:v>
      </x:c>
      <x:c r="N83" s="6" t="str">
        <x:v>9</x:v>
      </x:c>
      <x:c r="O83" s="6" t="str">
        <x:v>Q1.1</x:v>
      </x:c>
      <x:c r="P83" s="6" t="str">
        <x:v>24 VDC switched</x:v>
      </x:c>
      <x:c r="Q83" s="6" t="str"/>
      <x:c r="R83" s="6" t="str"/>
      <x:c r="S83" s="6" t="str"/>
      <x:c r="T83" s="6" t="str">
        <x:v>BK</x:v>
      </x:c>
      <x:c r="U83" s="6" t="str">
        <x:v>=FC01+CP01-A103:9</x:v>
      </x:c>
      <x:c r="V83" s="6" t="str">
        <x:v>Controlled Rev-D topology; conductor size/terminal family and native QET continuity verification remain open</x:v>
      </x:c>
    </x:row>
    <x:row r="84" ht="27" customHeight="1">
      <x:c r="A84" s="6" t="str">
        <x:v>STACK_GREEN</x:v>
      </x:c>
      <x:c r="B84" s="6" t="str">
        <x:v>Relay coil return</x:v>
      </x:c>
      <x:c r="C84" s="6" t="str">
        <x:v>-K209</x:v>
      </x:c>
      <x:c r="D84" s="6" t="str">
        <x:v>=FC01+CP01-K209</x:v>
      </x:c>
      <x:c r="E84" s="6" t="str">
        <x:v>A2</x:v>
      </x:c>
      <x:c r="F84" s="6" t="str"/>
      <x:c r="G84" s="6" t="str"/>
      <x:c r="H84" s="6" t="str">
        <x:v>-K209:A2</x:v>
      </x:c>
      <x:c r="I84" s="6" t="str"/>
      <x:c r="J84" s="6" t="str">
        <x:v>W0083</x:v>
      </x:c>
      <x:c r="K84" s="6" t="str">
        <x:v>-K209</x:v>
      </x:c>
      <x:c r="L84" s="6" t="str">
        <x:v>-A103</x:v>
      </x:c>
      <x:c r="M84" s="6" t="str">
        <x:v>=FC01+CP01-A103</x:v>
      </x:c>
      <x:c r="N84" s="6" t="str">
        <x:v>9</x:v>
      </x:c>
      <x:c r="O84" s="6" t="str">
        <x:v>Q1.1</x:v>
      </x:c>
      <x:c r="P84" s="6" t="str">
        <x:v>0V</x:v>
      </x:c>
      <x:c r="Q84" s="6" t="str">
        <x:v>X0:0V</x:v>
      </x:c>
      <x:c r="R84" s="6" t="str"/>
      <x:c r="S84" s="6" t="str"/>
      <x:c r="T84" s="6" t="str">
        <x:v>BU</x:v>
      </x:c>
      <x:c r="U84" s="6" t="str">
        <x:v>=FC01+CP01-X0:0V</x:v>
      </x:c>
      <x:c r="V84" s="6" t="str">
        <x:v>Controlled Rev-D topology; conductor size/terminal family and native QET continuity verification remain open</x:v>
      </x:c>
    </x:row>
    <x:row r="85" ht="27" customHeight="1">
      <x:c r="A85" s="6" t="str">
        <x:v>STACK_GREEN</x:v>
      </x:c>
      <x:c r="B85" s="6" t="str">
        <x:v>Relay contact supply</x:v>
      </x:c>
      <x:c r="C85" s="6" t="str">
        <x:v>-K209</x:v>
      </x:c>
      <x:c r="D85" s="6" t="str">
        <x:v>=FC01+CP01-K209</x:v>
      </x:c>
      <x:c r="E85" s="6" t="str">
        <x:v>13</x:v>
      </x:c>
      <x:c r="F85" s="6" t="str"/>
      <x:c r="G85" s="6" t="str"/>
      <x:c r="H85" s="6" t="str">
        <x:v>-K209:13</x:v>
      </x:c>
      <x:c r="I85" s="6" t="str"/>
      <x:c r="J85" s="6" t="str">
        <x:v>W0084</x:v>
      </x:c>
      <x:c r="K85" s="6" t="str">
        <x:v>-K209</x:v>
      </x:c>
      <x:c r="L85" s="6" t="str">
        <x:v>-A103</x:v>
      </x:c>
      <x:c r="M85" s="6" t="str">
        <x:v>=FC01+CP01-A103</x:v>
      </x:c>
      <x:c r="N85" s="6" t="str">
        <x:v>9</x:v>
      </x:c>
      <x:c r="O85" s="6" t="str">
        <x:v>Q1.1</x:v>
      </x:c>
      <x:c r="P85" s="6" t="str">
        <x:v>+24VDC fused</x:v>
      </x:c>
      <x:c r="Q85" s="6" t="str"/>
      <x:c r="R85" s="6" t="str"/>
      <x:c r="S85" s="6" t="str"/>
      <x:c r="T85" s="6" t="str">
        <x:v>RD</x:v>
      </x:c>
      <x:c r="U85" s="6" t="str">
        <x:v>=FC01+CP01-X24:+24V</x:v>
      </x:c>
      <x:c r="V85" s="6" t="str">
        <x:v>Controlled Rev-D topology; conductor size/terminal family and native QET continuity verification remain open</x:v>
      </x:c>
    </x:row>
    <x:row r="86" ht="27" customHeight="1">
      <x:c r="A86" s="6" t="str">
        <x:v>STACK_GREEN</x:v>
      </x:c>
      <x:c r="B86" s="6" t="str">
        <x:v>Relay contact 14 to field load</x:v>
      </x:c>
      <x:c r="C86" s="6" t="str">
        <x:v>-H101</x:v>
      </x:c>
      <x:c r="D86" s="6" t="str">
        <x:v>=FC01+FLD-H101</x:v>
      </x:c>
      <x:c r="E86" s="6" t="str">
        <x:v>G</x:v>
      </x:c>
      <x:c r="F86" s="6" t="str">
        <x:v>C019</x:v>
      </x:c>
      <x:c r="G86" s="6" t="str">
        <x:v>1</x:v>
      </x:c>
      <x:c r="H86" s="6" t="str">
        <x:v>-H101:G</x:v>
      </x:c>
      <x:c r="I86" s="6" t="str">
        <x:v>X102:11</x:v>
      </x:c>
      <x:c r="J86" s="6" t="str">
        <x:v>W0085</x:v>
      </x:c>
      <x:c r="K86" s="6" t="str">
        <x:v>-K209</x:v>
      </x:c>
      <x:c r="L86" s="6" t="str">
        <x:v>-A103</x:v>
      </x:c>
      <x:c r="M86" s="6" t="str">
        <x:v>=FC01+CP01-A103</x:v>
      </x:c>
      <x:c r="N86" s="6" t="str">
        <x:v>9</x:v>
      </x:c>
      <x:c r="O86" s="6" t="str">
        <x:v>Q1.1</x:v>
      </x:c>
      <x:c r="P86" s="6" t="str">
        <x:v>+24VDC switched</x:v>
      </x:c>
      <x:c r="Q86" s="6" t="str"/>
      <x:c r="R86" s="6" t="str"/>
      <x:c r="S86" s="6" t="str"/>
      <x:c r="T86" s="6" t="str">
        <x:v>BK</x:v>
      </x:c>
      <x:c r="U86" s="6" t="str">
        <x:v>=FC01+CP01-K209:14</x:v>
      </x:c>
      <x:c r="V86" s="6" t="str">
        <x:v>Controlled Rev-D topology; conductor size/terminal family and native QET continuity verification remain open</x:v>
      </x:c>
    </x:row>
    <x:row r="87" ht="27" customHeight="1">
      <x:c r="A87" s="6" t="str">
        <x:v>STACK_GREEN</x:v>
      </x:c>
      <x:c r="B87" s="6" t="str">
        <x:v>Field load return</x:v>
      </x:c>
      <x:c r="C87" s="6" t="str">
        <x:v>-H101</x:v>
      </x:c>
      <x:c r="D87" s="6" t="str">
        <x:v>=FC01+FLD-H101</x:v>
      </x:c>
      <x:c r="E87" s="6" t="str">
        <x:v>COM-G</x:v>
      </x:c>
      <x:c r="F87" s="6" t="str">
        <x:v>C019</x:v>
      </x:c>
      <x:c r="G87" s="6" t="str">
        <x:v>2</x:v>
      </x:c>
      <x:c r="H87" s="6" t="str">
        <x:v>-H101:COM-G</x:v>
      </x:c>
      <x:c r="I87" s="6" t="str">
        <x:v>X102:12</x:v>
      </x:c>
      <x:c r="J87" s="6" t="str">
        <x:v>W0086</x:v>
      </x:c>
      <x:c r="K87" s="6" t="str">
        <x:v>-K209</x:v>
      </x:c>
      <x:c r="L87" s="6" t="str">
        <x:v>-A103</x:v>
      </x:c>
      <x:c r="M87" s="6" t="str">
        <x:v>=FC01+CP01-A103</x:v>
      </x:c>
      <x:c r="N87" s="6" t="str">
        <x:v>9</x:v>
      </x:c>
      <x:c r="O87" s="6" t="str">
        <x:v>Q1.1</x:v>
      </x:c>
      <x:c r="P87" s="6" t="str">
        <x:v>0V</x:v>
      </x:c>
      <x:c r="Q87" s="6" t="str">
        <x:v>X0:0V</x:v>
      </x:c>
      <x:c r="R87" s="6" t="str"/>
      <x:c r="S87" s="6" t="str"/>
      <x:c r="T87" s="6" t="str">
        <x:v>BU</x:v>
      </x:c>
      <x:c r="U87" s="6" t="str">
        <x:v>=FC01+CP01-X0:0V</x:v>
      </x:c>
      <x:c r="V87" s="6" t="str">
        <x:v>Controlled Rev-D topology; conductor size/terminal family and native QET continuity verification remain open</x:v>
      </x:c>
    </x:row>
    <x:row r="88" ht="27" customHeight="1">
      <x:c r="A88" s="6" t="str">
        <x:v>STACK_AMBER</x:v>
      </x:c>
      <x:c r="B88" s="6" t="str">
        <x:v>PLC output to relay coil</x:v>
      </x:c>
      <x:c r="C88" s="6" t="str">
        <x:v>-K210</x:v>
      </x:c>
      <x:c r="D88" s="6" t="str">
        <x:v>=FC01+CP01-K210</x:v>
      </x:c>
      <x:c r="E88" s="6" t="str">
        <x:v>A1</x:v>
      </x:c>
      <x:c r="F88" s="6" t="str"/>
      <x:c r="G88" s="6" t="str"/>
      <x:c r="H88" s="6" t="str">
        <x:v>-K210:A1</x:v>
      </x:c>
      <x:c r="I88" s="6" t="str"/>
      <x:c r="J88" s="6" t="str">
        <x:v>W0087</x:v>
      </x:c>
      <x:c r="K88" s="6" t="str">
        <x:v>-K210</x:v>
      </x:c>
      <x:c r="L88" s="6" t="str">
        <x:v>-A103</x:v>
      </x:c>
      <x:c r="M88" s="6" t="str">
        <x:v>=FC01+CP01-A103</x:v>
      </x:c>
      <x:c r="N88" s="6" t="str">
        <x:v>10</x:v>
      </x:c>
      <x:c r="O88" s="6" t="str">
        <x:v>Q1.2</x:v>
      </x:c>
      <x:c r="P88" s="6" t="str">
        <x:v>24 VDC switched</x:v>
      </x:c>
      <x:c r="Q88" s="6" t="str"/>
      <x:c r="R88" s="6" t="str"/>
      <x:c r="S88" s="6" t="str"/>
      <x:c r="T88" s="6" t="str">
        <x:v>BK</x:v>
      </x:c>
      <x:c r="U88" s="6" t="str">
        <x:v>=FC01+CP01-A103:10</x:v>
      </x:c>
      <x:c r="V88" s="6" t="str">
        <x:v>Controlled Rev-D topology; conductor size/terminal family and native QET continuity verification remain open</x:v>
      </x:c>
    </x:row>
    <x:row r="89" ht="27" customHeight="1">
      <x:c r="A89" s="6" t="str">
        <x:v>STACK_AMBER</x:v>
      </x:c>
      <x:c r="B89" s="6" t="str">
        <x:v>Relay coil return</x:v>
      </x:c>
      <x:c r="C89" s="6" t="str">
        <x:v>-K210</x:v>
      </x:c>
      <x:c r="D89" s="6" t="str">
        <x:v>=FC01+CP01-K210</x:v>
      </x:c>
      <x:c r="E89" s="6" t="str">
        <x:v>A2</x:v>
      </x:c>
      <x:c r="F89" s="6" t="str"/>
      <x:c r="G89" s="6" t="str"/>
      <x:c r="H89" s="6" t="str">
        <x:v>-K210:A2</x:v>
      </x:c>
      <x:c r="I89" s="6" t="str"/>
      <x:c r="J89" s="6" t="str">
        <x:v>W0088</x:v>
      </x:c>
      <x:c r="K89" s="6" t="str">
        <x:v>-K210</x:v>
      </x:c>
      <x:c r="L89" s="6" t="str">
        <x:v>-A103</x:v>
      </x:c>
      <x:c r="M89" s="6" t="str">
        <x:v>=FC01+CP01-A103</x:v>
      </x:c>
      <x:c r="N89" s="6" t="str">
        <x:v>10</x:v>
      </x:c>
      <x:c r="O89" s="6" t="str">
        <x:v>Q1.2</x:v>
      </x:c>
      <x:c r="P89" s="6" t="str">
        <x:v>0V</x:v>
      </x:c>
      <x:c r="Q89" s="6" t="str">
        <x:v>X0:0V</x:v>
      </x:c>
      <x:c r="R89" s="6" t="str"/>
      <x:c r="S89" s="6" t="str"/>
      <x:c r="T89" s="6" t="str">
        <x:v>BU</x:v>
      </x:c>
      <x:c r="U89" s="6" t="str">
        <x:v>=FC01+CP01-X0:0V</x:v>
      </x:c>
      <x:c r="V89" s="6" t="str">
        <x:v>Controlled Rev-D topology; conductor size/terminal family and native QET continuity verification remain open</x:v>
      </x:c>
    </x:row>
    <x:row r="90" ht="27" customHeight="1">
      <x:c r="A90" s="6" t="str">
        <x:v>STACK_AMBER</x:v>
      </x:c>
      <x:c r="B90" s="6" t="str">
        <x:v>Relay contact supply</x:v>
      </x:c>
      <x:c r="C90" s="6" t="str">
        <x:v>-K210</x:v>
      </x:c>
      <x:c r="D90" s="6" t="str">
        <x:v>=FC01+CP01-K210</x:v>
      </x:c>
      <x:c r="E90" s="6" t="str">
        <x:v>13</x:v>
      </x:c>
      <x:c r="F90" s="6" t="str"/>
      <x:c r="G90" s="6" t="str"/>
      <x:c r="H90" s="6" t="str">
        <x:v>-K210:13</x:v>
      </x:c>
      <x:c r="I90" s="6" t="str"/>
      <x:c r="J90" s="6" t="str">
        <x:v>W0089</x:v>
      </x:c>
      <x:c r="K90" s="6" t="str">
        <x:v>-K210</x:v>
      </x:c>
      <x:c r="L90" s="6" t="str">
        <x:v>-A103</x:v>
      </x:c>
      <x:c r="M90" s="6" t="str">
        <x:v>=FC01+CP01-A103</x:v>
      </x:c>
      <x:c r="N90" s="6" t="str">
        <x:v>10</x:v>
      </x:c>
      <x:c r="O90" s="6" t="str">
        <x:v>Q1.2</x:v>
      </x:c>
      <x:c r="P90" s="6" t="str">
        <x:v>+24VDC fused</x:v>
      </x:c>
      <x:c r="Q90" s="6" t="str"/>
      <x:c r="R90" s="6" t="str"/>
      <x:c r="S90" s="6" t="str"/>
      <x:c r="T90" s="6" t="str">
        <x:v>RD</x:v>
      </x:c>
      <x:c r="U90" s="6" t="str">
        <x:v>=FC01+CP01-X24:+24V</x:v>
      </x:c>
      <x:c r="V90" s="6" t="str">
        <x:v>Controlled Rev-D topology; conductor size/terminal family and native QET continuity verification remain open</x:v>
      </x:c>
    </x:row>
    <x:row r="91" ht="27" customHeight="1">
      <x:c r="A91" s="6" t="str">
        <x:v>STACK_AMBER</x:v>
      </x:c>
      <x:c r="B91" s="6" t="str">
        <x:v>Relay contact 14 to field load</x:v>
      </x:c>
      <x:c r="C91" s="6" t="str">
        <x:v>-H101</x:v>
      </x:c>
      <x:c r="D91" s="6" t="str">
        <x:v>=FC01+FLD-H101</x:v>
      </x:c>
      <x:c r="E91" s="6" t="str">
        <x:v>A</x:v>
      </x:c>
      <x:c r="F91" s="6" t="str">
        <x:v>C019</x:v>
      </x:c>
      <x:c r="G91" s="6" t="str">
        <x:v>3</x:v>
      </x:c>
      <x:c r="H91" s="6" t="str">
        <x:v>-H101:A</x:v>
      </x:c>
      <x:c r="I91" s="6" t="str">
        <x:v>X102:13</x:v>
      </x:c>
      <x:c r="J91" s="6" t="str">
        <x:v>W0090</x:v>
      </x:c>
      <x:c r="K91" s="6" t="str">
        <x:v>-K210</x:v>
      </x:c>
      <x:c r="L91" s="6" t="str">
        <x:v>-A103</x:v>
      </x:c>
      <x:c r="M91" s="6" t="str">
        <x:v>=FC01+CP01-A103</x:v>
      </x:c>
      <x:c r="N91" s="6" t="str">
        <x:v>10</x:v>
      </x:c>
      <x:c r="O91" s="6" t="str">
        <x:v>Q1.2</x:v>
      </x:c>
      <x:c r="P91" s="6" t="str">
        <x:v>+24VDC switched</x:v>
      </x:c>
      <x:c r="Q91" s="6" t="str"/>
      <x:c r="R91" s="6" t="str"/>
      <x:c r="S91" s="6" t="str"/>
      <x:c r="T91" s="6" t="str">
        <x:v>BK</x:v>
      </x:c>
      <x:c r="U91" s="6" t="str">
        <x:v>=FC01+CP01-K210:14</x:v>
      </x:c>
      <x:c r="V91" s="6" t="str">
        <x:v>Controlled Rev-D topology; conductor size/terminal family and native QET continuity verification remain open</x:v>
      </x:c>
    </x:row>
    <x:row r="92" ht="27" customHeight="1">
      <x:c r="A92" s="6" t="str">
        <x:v>STACK_AMBER</x:v>
      </x:c>
      <x:c r="B92" s="6" t="str">
        <x:v>Field load return</x:v>
      </x:c>
      <x:c r="C92" s="6" t="str">
        <x:v>-H101</x:v>
      </x:c>
      <x:c r="D92" s="6" t="str">
        <x:v>=FC01+FLD-H101</x:v>
      </x:c>
      <x:c r="E92" s="6" t="str">
        <x:v>COM-A</x:v>
      </x:c>
      <x:c r="F92" s="6" t="str">
        <x:v>C019</x:v>
      </x:c>
      <x:c r="G92" s="6" t="str">
        <x:v>4</x:v>
      </x:c>
      <x:c r="H92" s="6" t="str">
        <x:v>-H101:COM-A</x:v>
      </x:c>
      <x:c r="I92" s="6" t="str">
        <x:v>X102:14</x:v>
      </x:c>
      <x:c r="J92" s="6" t="str">
        <x:v>W0091</x:v>
      </x:c>
      <x:c r="K92" s="6" t="str">
        <x:v>-K210</x:v>
      </x:c>
      <x:c r="L92" s="6" t="str">
        <x:v>-A103</x:v>
      </x:c>
      <x:c r="M92" s="6" t="str">
        <x:v>=FC01+CP01-A103</x:v>
      </x:c>
      <x:c r="N92" s="6" t="str">
        <x:v>10</x:v>
      </x:c>
      <x:c r="O92" s="6" t="str">
        <x:v>Q1.2</x:v>
      </x:c>
      <x:c r="P92" s="6" t="str">
        <x:v>0V</x:v>
      </x:c>
      <x:c r="Q92" s="6" t="str">
        <x:v>X0:0V</x:v>
      </x:c>
      <x:c r="R92" s="6" t="str"/>
      <x:c r="S92" s="6" t="str"/>
      <x:c r="T92" s="6" t="str">
        <x:v>BU</x:v>
      </x:c>
      <x:c r="U92" s="6" t="str">
        <x:v>=FC01+CP01-X0:0V</x:v>
      </x:c>
      <x:c r="V92" s="6" t="str">
        <x:v>Controlled Rev-D topology; conductor size/terminal family and native QET continuity verification remain open</x:v>
      </x:c>
    </x:row>
    <x:row r="93" ht="27" customHeight="1">
      <x:c r="A93" s="6" t="str">
        <x:v>STACK_RED</x:v>
      </x:c>
      <x:c r="B93" s="6" t="str">
        <x:v>PLC output to relay coil</x:v>
      </x:c>
      <x:c r="C93" s="6" t="str">
        <x:v>-K211</x:v>
      </x:c>
      <x:c r="D93" s="6" t="str">
        <x:v>=FC01+CP01-K211</x:v>
      </x:c>
      <x:c r="E93" s="6" t="str">
        <x:v>A1</x:v>
      </x:c>
      <x:c r="F93" s="6" t="str"/>
      <x:c r="G93" s="6" t="str"/>
      <x:c r="H93" s="6" t="str">
        <x:v>-K211:A1</x:v>
      </x:c>
      <x:c r="I93" s="6" t="str"/>
      <x:c r="J93" s="6" t="str">
        <x:v>W0092</x:v>
      </x:c>
      <x:c r="K93" s="6" t="str">
        <x:v>-K211</x:v>
      </x:c>
      <x:c r="L93" s="6" t="str">
        <x:v>-A103</x:v>
      </x:c>
      <x:c r="M93" s="6" t="str">
        <x:v>=FC01+CP01-A103</x:v>
      </x:c>
      <x:c r="N93" s="6" t="str">
        <x:v>11</x:v>
      </x:c>
      <x:c r="O93" s="6" t="str">
        <x:v>Q1.3</x:v>
      </x:c>
      <x:c r="P93" s="6" t="str">
        <x:v>24 VDC switched</x:v>
      </x:c>
      <x:c r="Q93" s="6" t="str"/>
      <x:c r="R93" s="6" t="str"/>
      <x:c r="S93" s="6" t="str"/>
      <x:c r="T93" s="6" t="str">
        <x:v>BK</x:v>
      </x:c>
      <x:c r="U93" s="6" t="str">
        <x:v>=FC01+CP01-A103:11</x:v>
      </x:c>
      <x:c r="V93" s="6" t="str">
        <x:v>Controlled Rev-D topology; conductor size/terminal family and native QET continuity verification remain open</x:v>
      </x:c>
    </x:row>
    <x:row r="94" ht="27" customHeight="1">
      <x:c r="A94" s="6" t="str">
        <x:v>STACK_RED</x:v>
      </x:c>
      <x:c r="B94" s="6" t="str">
        <x:v>Relay coil return</x:v>
      </x:c>
      <x:c r="C94" s="6" t="str">
        <x:v>-K211</x:v>
      </x:c>
      <x:c r="D94" s="6" t="str">
        <x:v>=FC01+CP01-K211</x:v>
      </x:c>
      <x:c r="E94" s="6" t="str">
        <x:v>A2</x:v>
      </x:c>
      <x:c r="F94" s="6" t="str"/>
      <x:c r="G94" s="6" t="str"/>
      <x:c r="H94" s="6" t="str">
        <x:v>-K211:A2</x:v>
      </x:c>
      <x:c r="I94" s="6" t="str"/>
      <x:c r="J94" s="6" t="str">
        <x:v>W0093</x:v>
      </x:c>
      <x:c r="K94" s="6" t="str">
        <x:v>-K211</x:v>
      </x:c>
      <x:c r="L94" s="6" t="str">
        <x:v>-A103</x:v>
      </x:c>
      <x:c r="M94" s="6" t="str">
        <x:v>=FC01+CP01-A103</x:v>
      </x:c>
      <x:c r="N94" s="6" t="str">
        <x:v>11</x:v>
      </x:c>
      <x:c r="O94" s="6" t="str">
        <x:v>Q1.3</x:v>
      </x:c>
      <x:c r="P94" s="6" t="str">
        <x:v>0V</x:v>
      </x:c>
      <x:c r="Q94" s="6" t="str">
        <x:v>X0:0V</x:v>
      </x:c>
      <x:c r="R94" s="6" t="str"/>
      <x:c r="S94" s="6" t="str"/>
      <x:c r="T94" s="6" t="str">
        <x:v>BU</x:v>
      </x:c>
      <x:c r="U94" s="6" t="str">
        <x:v>=FC01+CP01-X0:0V</x:v>
      </x:c>
      <x:c r="V94" s="6" t="str">
        <x:v>Controlled Rev-D topology; conductor size/terminal family and native QET continuity verification remain open</x:v>
      </x:c>
    </x:row>
    <x:row r="95" ht="27" customHeight="1">
      <x:c r="A95" s="6" t="str">
        <x:v>STACK_RED</x:v>
      </x:c>
      <x:c r="B95" s="6" t="str">
        <x:v>Relay contact supply</x:v>
      </x:c>
      <x:c r="C95" s="6" t="str">
        <x:v>-K211</x:v>
      </x:c>
      <x:c r="D95" s="6" t="str">
        <x:v>=FC01+CP01-K211</x:v>
      </x:c>
      <x:c r="E95" s="6" t="str">
        <x:v>13</x:v>
      </x:c>
      <x:c r="F95" s="6" t="str"/>
      <x:c r="G95" s="6" t="str"/>
      <x:c r="H95" s="6" t="str">
        <x:v>-K211:13</x:v>
      </x:c>
      <x:c r="I95" s="6" t="str"/>
      <x:c r="J95" s="6" t="str">
        <x:v>W0094</x:v>
      </x:c>
      <x:c r="K95" s="6" t="str">
        <x:v>-K211</x:v>
      </x:c>
      <x:c r="L95" s="6" t="str">
        <x:v>-A103</x:v>
      </x:c>
      <x:c r="M95" s="6" t="str">
        <x:v>=FC01+CP01-A103</x:v>
      </x:c>
      <x:c r="N95" s="6" t="str">
        <x:v>11</x:v>
      </x:c>
      <x:c r="O95" s="6" t="str">
        <x:v>Q1.3</x:v>
      </x:c>
      <x:c r="P95" s="6" t="str">
        <x:v>+24VDC fused</x:v>
      </x:c>
      <x:c r="Q95" s="6" t="str"/>
      <x:c r="R95" s="6" t="str"/>
      <x:c r="S95" s="6" t="str"/>
      <x:c r="T95" s="6" t="str">
        <x:v>RD</x:v>
      </x:c>
      <x:c r="U95" s="6" t="str">
        <x:v>=FC01+CP01-X24:+24V</x:v>
      </x:c>
      <x:c r="V95" s="6" t="str">
        <x:v>Controlled Rev-D topology; conductor size/terminal family and native QET continuity verification remain open</x:v>
      </x:c>
    </x:row>
    <x:row r="96" ht="27" customHeight="1">
      <x:c r="A96" s="6" t="str">
        <x:v>STACK_RED</x:v>
      </x:c>
      <x:c r="B96" s="6" t="str">
        <x:v>Relay contact 14 to field load</x:v>
      </x:c>
      <x:c r="C96" s="6" t="str">
        <x:v>-H101</x:v>
      </x:c>
      <x:c r="D96" s="6" t="str">
        <x:v>=FC01+FLD-H101</x:v>
      </x:c>
      <x:c r="E96" s="6" t="str">
        <x:v>R</x:v>
      </x:c>
      <x:c r="F96" s="6" t="str">
        <x:v>C019</x:v>
      </x:c>
      <x:c r="G96" s="6" t="str">
        <x:v>5</x:v>
      </x:c>
      <x:c r="H96" s="6" t="str">
        <x:v>-H101:R</x:v>
      </x:c>
      <x:c r="I96" s="6" t="str">
        <x:v>X102:15</x:v>
      </x:c>
      <x:c r="J96" s="6" t="str">
        <x:v>W0095</x:v>
      </x:c>
      <x:c r="K96" s="6" t="str">
        <x:v>-K211</x:v>
      </x:c>
      <x:c r="L96" s="6" t="str">
        <x:v>-A103</x:v>
      </x:c>
      <x:c r="M96" s="6" t="str">
        <x:v>=FC01+CP01-A103</x:v>
      </x:c>
      <x:c r="N96" s="6" t="str">
        <x:v>11</x:v>
      </x:c>
      <x:c r="O96" s="6" t="str">
        <x:v>Q1.3</x:v>
      </x:c>
      <x:c r="P96" s="6" t="str">
        <x:v>+24VDC switched</x:v>
      </x:c>
      <x:c r="Q96" s="6" t="str"/>
      <x:c r="R96" s="6" t="str"/>
      <x:c r="S96" s="6" t="str"/>
      <x:c r="T96" s="6" t="str">
        <x:v>BK</x:v>
      </x:c>
      <x:c r="U96" s="6" t="str">
        <x:v>=FC01+CP01-K211:14</x:v>
      </x:c>
      <x:c r="V96" s="6" t="str">
        <x:v>Controlled Rev-D topology; conductor size/terminal family and native QET continuity verification remain open</x:v>
      </x:c>
    </x:row>
    <x:row r="97" ht="27" customHeight="1">
      <x:c r="A97" s="6" t="str">
        <x:v>STACK_RED</x:v>
      </x:c>
      <x:c r="B97" s="6" t="str">
        <x:v>Field load return</x:v>
      </x:c>
      <x:c r="C97" s="6" t="str">
        <x:v>-H101</x:v>
      </x:c>
      <x:c r="D97" s="6" t="str">
        <x:v>=FC01+FLD-H101</x:v>
      </x:c>
      <x:c r="E97" s="6" t="str">
        <x:v>COM-R</x:v>
      </x:c>
      <x:c r="F97" s="6" t="str">
        <x:v>C019</x:v>
      </x:c>
      <x:c r="G97" s="6" t="str">
        <x:v>6</x:v>
      </x:c>
      <x:c r="H97" s="6" t="str">
        <x:v>-H101:COM-R</x:v>
      </x:c>
      <x:c r="I97" s="6" t="str">
        <x:v>X102:16</x:v>
      </x:c>
      <x:c r="J97" s="6" t="str">
        <x:v>W0096</x:v>
      </x:c>
      <x:c r="K97" s="6" t="str">
        <x:v>-K211</x:v>
      </x:c>
      <x:c r="L97" s="6" t="str">
        <x:v>-A103</x:v>
      </x:c>
      <x:c r="M97" s="6" t="str">
        <x:v>=FC01+CP01-A103</x:v>
      </x:c>
      <x:c r="N97" s="6" t="str">
        <x:v>11</x:v>
      </x:c>
      <x:c r="O97" s="6" t="str">
        <x:v>Q1.3</x:v>
      </x:c>
      <x:c r="P97" s="6" t="str">
        <x:v>0V</x:v>
      </x:c>
      <x:c r="Q97" s="6" t="str">
        <x:v>X0:0V</x:v>
      </x:c>
      <x:c r="R97" s="6" t="str"/>
      <x:c r="S97" s="6" t="str"/>
      <x:c r="T97" s="6" t="str">
        <x:v>BU</x:v>
      </x:c>
      <x:c r="U97" s="6" t="str">
        <x:v>=FC01+CP01-X0:0V</x:v>
      </x:c>
      <x:c r="V97" s="6" t="str">
        <x:v>Controlled Rev-D topology; conductor size/terminal family and native QET continuity verification remain open</x:v>
      </x:c>
    </x:row>
    <x:row r="98" ht="27" customHeight="1">
      <x:c r="A98" s="6" t="str">
        <x:v>AUDIBLE_ALARM</x:v>
      </x:c>
      <x:c r="B98" s="6" t="str">
        <x:v>PLC output to relay coil</x:v>
      </x:c>
      <x:c r="C98" s="6" t="str">
        <x:v>-K212</x:v>
      </x:c>
      <x:c r="D98" s="6" t="str">
        <x:v>=FC01+CP01-K212</x:v>
      </x:c>
      <x:c r="E98" s="6" t="str">
        <x:v>A1</x:v>
      </x:c>
      <x:c r="F98" s="6" t="str"/>
      <x:c r="G98" s="6" t="str"/>
      <x:c r="H98" s="6" t="str">
        <x:v>-K212:A1</x:v>
      </x:c>
      <x:c r="I98" s="6" t="str"/>
      <x:c r="J98" s="6" t="str">
        <x:v>W0097</x:v>
      </x:c>
      <x:c r="K98" s="6" t="str">
        <x:v>-K212</x:v>
      </x:c>
      <x:c r="L98" s="6" t="str">
        <x:v>-A103</x:v>
      </x:c>
      <x:c r="M98" s="6" t="str">
        <x:v>=FC01+CP01-A103</x:v>
      </x:c>
      <x:c r="N98" s="6" t="str">
        <x:v>12</x:v>
      </x:c>
      <x:c r="O98" s="6" t="str">
        <x:v>Q1.4</x:v>
      </x:c>
      <x:c r="P98" s="6" t="str">
        <x:v>24 VDC switched</x:v>
      </x:c>
      <x:c r="Q98" s="6" t="str"/>
      <x:c r="R98" s="6" t="str"/>
      <x:c r="S98" s="6" t="str"/>
      <x:c r="T98" s="6" t="str">
        <x:v>BK</x:v>
      </x:c>
      <x:c r="U98" s="6" t="str">
        <x:v>=FC01+CP01-A103:12</x:v>
      </x:c>
      <x:c r="V98" s="6" t="str">
        <x:v>Controlled Rev-D topology; conductor size/terminal family and native QET continuity verification remain open</x:v>
      </x:c>
    </x:row>
    <x:row r="99" ht="27" customHeight="1">
      <x:c r="A99" s="6" t="str">
        <x:v>AUDIBLE_ALARM</x:v>
      </x:c>
      <x:c r="B99" s="6" t="str">
        <x:v>Relay coil return</x:v>
      </x:c>
      <x:c r="C99" s="6" t="str">
        <x:v>-K212</x:v>
      </x:c>
      <x:c r="D99" s="6" t="str">
        <x:v>=FC01+CP01-K212</x:v>
      </x:c>
      <x:c r="E99" s="6" t="str">
        <x:v>A2</x:v>
      </x:c>
      <x:c r="F99" s="6" t="str"/>
      <x:c r="G99" s="6" t="str"/>
      <x:c r="H99" s="6" t="str">
        <x:v>-K212:A2</x:v>
      </x:c>
      <x:c r="I99" s="6" t="str"/>
      <x:c r="J99" s="6" t="str">
        <x:v>W0098</x:v>
      </x:c>
      <x:c r="K99" s="6" t="str">
        <x:v>-K212</x:v>
      </x:c>
      <x:c r="L99" s="6" t="str">
        <x:v>-A103</x:v>
      </x:c>
      <x:c r="M99" s="6" t="str">
        <x:v>=FC01+CP01-A103</x:v>
      </x:c>
      <x:c r="N99" s="6" t="str">
        <x:v>12</x:v>
      </x:c>
      <x:c r="O99" s="6" t="str">
        <x:v>Q1.4</x:v>
      </x:c>
      <x:c r="P99" s="6" t="str">
        <x:v>0V</x:v>
      </x:c>
      <x:c r="Q99" s="6" t="str">
        <x:v>X0:0V</x:v>
      </x:c>
      <x:c r="R99" s="6" t="str"/>
      <x:c r="S99" s="6" t="str"/>
      <x:c r="T99" s="6" t="str">
        <x:v>BU</x:v>
      </x:c>
      <x:c r="U99" s="6" t="str">
        <x:v>=FC01+CP01-X0:0V</x:v>
      </x:c>
      <x:c r="V99" s="6" t="str">
        <x:v>Controlled Rev-D topology; conductor size/terminal family and native QET continuity verification remain open</x:v>
      </x:c>
    </x:row>
    <x:row r="100" ht="27" customHeight="1">
      <x:c r="A100" s="6" t="str">
        <x:v>AUDIBLE_ALARM</x:v>
      </x:c>
      <x:c r="B100" s="6" t="str">
        <x:v>Relay contact supply</x:v>
      </x:c>
      <x:c r="C100" s="6" t="str">
        <x:v>-K212</x:v>
      </x:c>
      <x:c r="D100" s="6" t="str">
        <x:v>=FC01+CP01-K212</x:v>
      </x:c>
      <x:c r="E100" s="6" t="str">
        <x:v>13</x:v>
      </x:c>
      <x:c r="F100" s="6" t="str"/>
      <x:c r="G100" s="6" t="str"/>
      <x:c r="H100" s="6" t="str">
        <x:v>-K212:13</x:v>
      </x:c>
      <x:c r="I100" s="6" t="str"/>
      <x:c r="J100" s="6" t="str">
        <x:v>W0099</x:v>
      </x:c>
      <x:c r="K100" s="6" t="str">
        <x:v>-K212</x:v>
      </x:c>
      <x:c r="L100" s="6" t="str">
        <x:v>-A103</x:v>
      </x:c>
      <x:c r="M100" s="6" t="str">
        <x:v>=FC01+CP01-A103</x:v>
      </x:c>
      <x:c r="N100" s="6" t="str">
        <x:v>12</x:v>
      </x:c>
      <x:c r="O100" s="6" t="str">
        <x:v>Q1.4</x:v>
      </x:c>
      <x:c r="P100" s="6" t="str">
        <x:v>+24VDC fused</x:v>
      </x:c>
      <x:c r="Q100" s="6" t="str"/>
      <x:c r="R100" s="6" t="str"/>
      <x:c r="S100" s="6" t="str"/>
      <x:c r="T100" s="6" t="str">
        <x:v>RD</x:v>
      </x:c>
      <x:c r="U100" s="6" t="str">
        <x:v>=FC01+CP01-X24:+24V</x:v>
      </x:c>
      <x:c r="V100" s="6" t="str">
        <x:v>Controlled Rev-D topology; conductor size/terminal family and native QET continuity verification remain open</x:v>
      </x:c>
    </x:row>
    <x:row r="101" ht="27" customHeight="1">
      <x:c r="A101" s="6" t="str">
        <x:v>AUDIBLE_ALARM</x:v>
      </x:c>
      <x:c r="B101" s="6" t="str">
        <x:v>Relay contact 14 to field load</x:v>
      </x:c>
      <x:c r="C101" s="6" t="str">
        <x:v>-H101</x:v>
      </x:c>
      <x:c r="D101" s="6" t="str">
        <x:v>=FC01+FLD-H101</x:v>
      </x:c>
      <x:c r="E101" s="6" t="str">
        <x:v>S</x:v>
      </x:c>
      <x:c r="F101" s="6" t="str">
        <x:v>C019</x:v>
      </x:c>
      <x:c r="G101" s="6" t="str">
        <x:v>7</x:v>
      </x:c>
      <x:c r="H101" s="6" t="str">
        <x:v>-H101:S</x:v>
      </x:c>
      <x:c r="I101" s="6" t="str">
        <x:v>X102:17</x:v>
      </x:c>
      <x:c r="J101" s="6" t="str">
        <x:v>W0100</x:v>
      </x:c>
      <x:c r="K101" s="6" t="str">
        <x:v>-K212</x:v>
      </x:c>
      <x:c r="L101" s="6" t="str">
        <x:v>-A103</x:v>
      </x:c>
      <x:c r="M101" s="6" t="str">
        <x:v>=FC01+CP01-A103</x:v>
      </x:c>
      <x:c r="N101" s="6" t="str">
        <x:v>12</x:v>
      </x:c>
      <x:c r="O101" s="6" t="str">
        <x:v>Q1.4</x:v>
      </x:c>
      <x:c r="P101" s="6" t="str">
        <x:v>+24VDC switched</x:v>
      </x:c>
      <x:c r="Q101" s="6" t="str"/>
      <x:c r="R101" s="6" t="str"/>
      <x:c r="S101" s="6" t="str"/>
      <x:c r="T101" s="6" t="str">
        <x:v>BK</x:v>
      </x:c>
      <x:c r="U101" s="6" t="str">
        <x:v>=FC01+CP01-K212:14</x:v>
      </x:c>
      <x:c r="V101" s="6" t="str">
        <x:v>Controlled Rev-D topology; conductor size/terminal family and native QET continuity verification remain open</x:v>
      </x:c>
    </x:row>
    <x:row r="102" ht="27" customHeight="1">
      <x:c r="A102" s="6" t="str">
        <x:v>AUDIBLE_ALARM</x:v>
      </x:c>
      <x:c r="B102" s="6" t="str">
        <x:v>Field load return</x:v>
      </x:c>
      <x:c r="C102" s="6" t="str">
        <x:v>-H101</x:v>
      </x:c>
      <x:c r="D102" s="6" t="str">
        <x:v>=FC01+FLD-H101</x:v>
      </x:c>
      <x:c r="E102" s="6" t="str">
        <x:v>COM-S</x:v>
      </x:c>
      <x:c r="F102" s="6" t="str">
        <x:v>C019</x:v>
      </x:c>
      <x:c r="G102" s="6" t="str">
        <x:v>8</x:v>
      </x:c>
      <x:c r="H102" s="6" t="str">
        <x:v>-H101:COM-S</x:v>
      </x:c>
      <x:c r="I102" s="6" t="str">
        <x:v>X102:18</x:v>
      </x:c>
      <x:c r="J102" s="6" t="str">
        <x:v>W0101</x:v>
      </x:c>
      <x:c r="K102" s="6" t="str">
        <x:v>-K212</x:v>
      </x:c>
      <x:c r="L102" s="6" t="str">
        <x:v>-A103</x:v>
      </x:c>
      <x:c r="M102" s="6" t="str">
        <x:v>=FC01+CP01-A103</x:v>
      </x:c>
      <x:c r="N102" s="6" t="str">
        <x:v>12</x:v>
      </x:c>
      <x:c r="O102" s="6" t="str">
        <x:v>Q1.4</x:v>
      </x:c>
      <x:c r="P102" s="6" t="str">
        <x:v>0V</x:v>
      </x:c>
      <x:c r="Q102" s="6" t="str">
        <x:v>X0:0V</x:v>
      </x:c>
      <x:c r="R102" s="6" t="str"/>
      <x:c r="S102" s="6" t="str"/>
      <x:c r="T102" s="6" t="str">
        <x:v>BU</x:v>
      </x:c>
      <x:c r="U102" s="6" t="str">
        <x:v>=FC01+CP01-X0:0V</x:v>
      </x:c>
      <x:c r="V102" s="6" t="str">
        <x:v>Controlled Rev-D topology; conductor size/terminal family and native QET continuity verification remain open</x:v>
      </x:c>
    </x:row>
    <x:row r="103" ht="27" customHeight="1">
      <x:c r="A103" s="6" t="str">
        <x:v>CAMERA_LIGHT_ENABLE</x:v>
      </x:c>
      <x:c r="B103" s="6" t="str">
        <x:v>PLC output to relay coil</x:v>
      </x:c>
      <x:c r="C103" s="6" t="str">
        <x:v>-K213</x:v>
      </x:c>
      <x:c r="D103" s="6" t="str">
        <x:v>=FC01+CP01-K213</x:v>
      </x:c>
      <x:c r="E103" s="6" t="str">
        <x:v>A1</x:v>
      </x:c>
      <x:c r="F103" s="6" t="str"/>
      <x:c r="G103" s="6" t="str"/>
      <x:c r="H103" s="6" t="str">
        <x:v>-K213:A1</x:v>
      </x:c>
      <x:c r="I103" s="6" t="str"/>
      <x:c r="J103" s="6" t="str">
        <x:v>W0102</x:v>
      </x:c>
      <x:c r="K103" s="6" t="str">
        <x:v>-K213</x:v>
      </x:c>
      <x:c r="L103" s="6" t="str">
        <x:v>-A103</x:v>
      </x:c>
      <x:c r="M103" s="6" t="str">
        <x:v>=FC01+CP01-A103</x:v>
      </x:c>
      <x:c r="N103" s="6" t="str">
        <x:v>13</x:v>
      </x:c>
      <x:c r="O103" s="6" t="str">
        <x:v>Q1.5</x:v>
      </x:c>
      <x:c r="P103" s="6" t="str">
        <x:v>24 VDC switched</x:v>
      </x:c>
      <x:c r="Q103" s="6" t="str"/>
      <x:c r="R103" s="6" t="str"/>
      <x:c r="S103" s="6" t="str"/>
      <x:c r="T103" s="6" t="str">
        <x:v>BK</x:v>
      </x:c>
      <x:c r="U103" s="6" t="str">
        <x:v>=FC01+CP01-A103:13</x:v>
      </x:c>
      <x:c r="V103" s="6" t="str">
        <x:v>Controlled Rev-D topology; conductor size/terminal family and native QET continuity verification remain open</x:v>
      </x:c>
    </x:row>
    <x:row r="104" ht="27" customHeight="1">
      <x:c r="A104" s="6" t="str">
        <x:v>CAMERA_LIGHT_ENABLE</x:v>
      </x:c>
      <x:c r="B104" s="6" t="str">
        <x:v>Relay coil return</x:v>
      </x:c>
      <x:c r="C104" s="6" t="str">
        <x:v>-K213</x:v>
      </x:c>
      <x:c r="D104" s="6" t="str">
        <x:v>=FC01+CP01-K213</x:v>
      </x:c>
      <x:c r="E104" s="6" t="str">
        <x:v>A2</x:v>
      </x:c>
      <x:c r="F104" s="6" t="str"/>
      <x:c r="G104" s="6" t="str"/>
      <x:c r="H104" s="6" t="str">
        <x:v>-K213:A2</x:v>
      </x:c>
      <x:c r="I104" s="6" t="str"/>
      <x:c r="J104" s="6" t="str">
        <x:v>W0103</x:v>
      </x:c>
      <x:c r="K104" s="6" t="str">
        <x:v>-K213</x:v>
      </x:c>
      <x:c r="L104" s="6" t="str">
        <x:v>-A103</x:v>
      </x:c>
      <x:c r="M104" s="6" t="str">
        <x:v>=FC01+CP01-A103</x:v>
      </x:c>
      <x:c r="N104" s="6" t="str">
        <x:v>13</x:v>
      </x:c>
      <x:c r="O104" s="6" t="str">
        <x:v>Q1.5</x:v>
      </x:c>
      <x:c r="P104" s="6" t="str">
        <x:v>0V</x:v>
      </x:c>
      <x:c r="Q104" s="6" t="str">
        <x:v>X0:0V</x:v>
      </x:c>
      <x:c r="R104" s="6" t="str"/>
      <x:c r="S104" s="6" t="str"/>
      <x:c r="T104" s="6" t="str">
        <x:v>BU</x:v>
      </x:c>
      <x:c r="U104" s="6" t="str">
        <x:v>=FC01+CP01-X0:0V</x:v>
      </x:c>
      <x:c r="V104" s="6" t="str">
        <x:v>Controlled Rev-D topology; conductor size/terminal family and native QET continuity verification remain open</x:v>
      </x:c>
    </x:row>
    <x:row r="105" ht="27" customHeight="1">
      <x:c r="A105" s="6" t="str">
        <x:v>CAMERA_LIGHT_ENABLE</x:v>
      </x:c>
      <x:c r="B105" s="6" t="str">
        <x:v>Relay contact supply</x:v>
      </x:c>
      <x:c r="C105" s="6" t="str">
        <x:v>-K213</x:v>
      </x:c>
      <x:c r="D105" s="6" t="str">
        <x:v>=FC01+CP01-K213</x:v>
      </x:c>
      <x:c r="E105" s="6" t="str">
        <x:v>13</x:v>
      </x:c>
      <x:c r="F105" s="6" t="str"/>
      <x:c r="G105" s="6" t="str"/>
      <x:c r="H105" s="6" t="str">
        <x:v>-K213:13</x:v>
      </x:c>
      <x:c r="I105" s="6" t="str"/>
      <x:c r="J105" s="6" t="str">
        <x:v>W0104</x:v>
      </x:c>
      <x:c r="K105" s="6" t="str">
        <x:v>-K213</x:v>
      </x:c>
      <x:c r="L105" s="6" t="str">
        <x:v>-A103</x:v>
      </x:c>
      <x:c r="M105" s="6" t="str">
        <x:v>=FC01+CP01-A103</x:v>
      </x:c>
      <x:c r="N105" s="6" t="str">
        <x:v>13</x:v>
      </x:c>
      <x:c r="O105" s="6" t="str">
        <x:v>Q1.5</x:v>
      </x:c>
      <x:c r="P105" s="6" t="str">
        <x:v>+24VDC fused</x:v>
      </x:c>
      <x:c r="Q105" s="6" t="str"/>
      <x:c r="R105" s="6" t="str"/>
      <x:c r="S105" s="6" t="str"/>
      <x:c r="T105" s="6" t="str">
        <x:v>RD</x:v>
      </x:c>
      <x:c r="U105" s="6" t="str">
        <x:v>=FC01+CP01-X24:+24V</x:v>
      </x:c>
      <x:c r="V105" s="6" t="str">
        <x:v>Controlled Rev-D topology; conductor size/terminal family and native QET continuity verification remain open</x:v>
      </x:c>
    </x:row>
    <x:row r="106" ht="27" customHeight="1">
      <x:c r="A106" s="6" t="str">
        <x:v>CAMERA_LIGHT_ENABLE</x:v>
      </x:c>
      <x:c r="B106" s="6" t="str">
        <x:v>Relay contact 14 to field load</x:v>
      </x:c>
      <x:c r="C106" s="6" t="str">
        <x:v>-LT200</x:v>
      </x:c>
      <x:c r="D106" s="6" t="str">
        <x:v>=FC01+FLD-LT200</x:v>
      </x:c>
      <x:c r="E106" s="6" t="str">
        <x:v>1</x:v>
      </x:c>
      <x:c r="F106" s="6" t="str">
        <x:v>C020</x:v>
      </x:c>
      <x:c r="G106" s="6" t="str">
        <x:v>1</x:v>
      </x:c>
      <x:c r="H106" s="6" t="str">
        <x:v>-LT200:1</x:v>
      </x:c>
      <x:c r="I106" s="6" t="str">
        <x:v>X102:19</x:v>
      </x:c>
      <x:c r="J106" s="6" t="str">
        <x:v>W0105</x:v>
      </x:c>
      <x:c r="K106" s="6" t="str">
        <x:v>-K213</x:v>
      </x:c>
      <x:c r="L106" s="6" t="str">
        <x:v>-A103</x:v>
      </x:c>
      <x:c r="M106" s="6" t="str">
        <x:v>=FC01+CP01-A103</x:v>
      </x:c>
      <x:c r="N106" s="6" t="str">
        <x:v>13</x:v>
      </x:c>
      <x:c r="O106" s="6" t="str">
        <x:v>Q1.5</x:v>
      </x:c>
      <x:c r="P106" s="6" t="str">
        <x:v>+24VDC switched</x:v>
      </x:c>
      <x:c r="Q106" s="6" t="str"/>
      <x:c r="R106" s="6" t="str"/>
      <x:c r="S106" s="6" t="str"/>
      <x:c r="T106" s="6" t="str">
        <x:v>BK</x:v>
      </x:c>
      <x:c r="U106" s="6" t="str">
        <x:v>=FC01+CP01-K213:14</x:v>
      </x:c>
      <x:c r="V106" s="6" t="str">
        <x:v>Controlled Rev-D topology; conductor size/terminal family and native QET continuity verification remain open</x:v>
      </x:c>
    </x:row>
    <x:row r="107" ht="27" customHeight="1">
      <x:c r="A107" s="6" t="str">
        <x:v>CAMERA_LIGHT_ENABLE</x:v>
      </x:c>
      <x:c r="B107" s="6" t="str">
        <x:v>Field load return</x:v>
      </x:c>
      <x:c r="C107" s="6" t="str">
        <x:v>-LT200</x:v>
      </x:c>
      <x:c r="D107" s="6" t="str">
        <x:v>=FC01+FLD-LT200</x:v>
      </x:c>
      <x:c r="E107" s="6" t="str">
        <x:v>2</x:v>
      </x:c>
      <x:c r="F107" s="6" t="str">
        <x:v>C020</x:v>
      </x:c>
      <x:c r="G107" s="6" t="str">
        <x:v>2</x:v>
      </x:c>
      <x:c r="H107" s="6" t="str">
        <x:v>-LT200:2</x:v>
      </x:c>
      <x:c r="I107" s="6" t="str">
        <x:v>X102:20</x:v>
      </x:c>
      <x:c r="J107" s="6" t="str">
        <x:v>W0106</x:v>
      </x:c>
      <x:c r="K107" s="6" t="str">
        <x:v>-K213</x:v>
      </x:c>
      <x:c r="L107" s="6" t="str">
        <x:v>-A103</x:v>
      </x:c>
      <x:c r="M107" s="6" t="str">
        <x:v>=FC01+CP01-A103</x:v>
      </x:c>
      <x:c r="N107" s="6" t="str">
        <x:v>13</x:v>
      </x:c>
      <x:c r="O107" s="6" t="str">
        <x:v>Q1.5</x:v>
      </x:c>
      <x:c r="P107" s="6" t="str">
        <x:v>0V</x:v>
      </x:c>
      <x:c r="Q107" s="6" t="str">
        <x:v>X0:0V</x:v>
      </x:c>
      <x:c r="R107" s="6" t="str"/>
      <x:c r="S107" s="6" t="str"/>
      <x:c r="T107" s="6" t="str">
        <x:v>BU</x:v>
      </x:c>
      <x:c r="U107" s="6" t="str">
        <x:v>=FC01+CP01-X0:0V</x:v>
      </x:c>
      <x:c r="V107" s="6" t="str">
        <x:v>Controlled Rev-D topology; conductor size/terminal family and native QET continuity verification remain open</x:v>
      </x:c>
    </x:row>
    <x:row r="108" ht="27" customHeight="1">
      <x:c r="A108" s="6" t="str">
        <x:v>FLOW_1_MA_RAW</x:v>
      </x:c>
      <x:c r="B108" s="6" t="str">
        <x:v>4-20 mA signal positive</x:v>
      </x:c>
      <x:c r="C108" s="6" t="str">
        <x:v>-FT100</x:v>
      </x:c>
      <x:c r="D108" s="6" t="str">
        <x:v>=FC01+FLD-FT100</x:v>
      </x:c>
      <x:c r="E108" s="6" t="str">
        <x:v>SIG+</x:v>
      </x:c>
      <x:c r="F108" s="6" t="str">
        <x:v>C021</x:v>
      </x:c>
      <x:c r="G108" s="6" t="str">
        <x:v>1</x:v>
      </x:c>
      <x:c r="H108" s="6" t="str">
        <x:v>-FT100:SIG+</x:v>
      </x:c>
      <x:c r="I108" s="6" t="str">
        <x:v>X102:21</x:v>
      </x:c>
      <x:c r="J108" s="6" t="str">
        <x:v>W0107</x:v>
      </x:c>
      <x:c r="K108" s="6" t="str"/>
      <x:c r="L108" s="6" t="str">
        <x:v>-A104</x:v>
      </x:c>
      <x:c r="M108" s="6" t="str">
        <x:v>=FC01+CP01-A104</x:v>
      </x:c>
      <x:c r="N108" s="6" t="str">
        <x:v>0</x:v>
      </x:c>
      <x:c r="O108" s="6" t="str">
        <x:v>IW64</x:v>
      </x:c>
      <x:c r="P108" s="6" t="str">
        <x:v>4-20mA</x:v>
      </x:c>
      <x:c r="Q108" s="6" t="str"/>
      <x:c r="R108" s="6" t="str"/>
      <x:c r="S108" s="6" t="str"/>
      <x:c r="T108" s="6" t="str">
        <x:v>WH</x:v>
      </x:c>
      <x:c r="U108" s="6" t="str">
        <x:v>=FC01+CP01-A104:0 AI+</x:v>
      </x:c>
      <x:c r="V108" s="6" t="str">
        <x:v>Controlled Rev-D topology; conductor size/terminal family and native QET continuity verification remain open</x:v>
      </x:c>
    </x:row>
    <x:row r="109" ht="27" customHeight="1">
      <x:c r="A109" s="6" t="str">
        <x:v>FLOW_1_MA_RAW</x:v>
      </x:c>
      <x:c r="B109" s="6" t="str">
        <x:v>Instrument supply</x:v>
      </x:c>
      <x:c r="C109" s="6" t="str">
        <x:v>-FT100</x:v>
      </x:c>
      <x:c r="D109" s="6" t="str">
        <x:v>=FC01+FLD-FT100</x:v>
      </x:c>
      <x:c r="E109" s="6" t="str">
        <x:v>+</x:v>
      </x:c>
      <x:c r="F109" s="6" t="str">
        <x:v>C021</x:v>
      </x:c>
      <x:c r="G109" s="6" t="str">
        <x:v>2</x:v>
      </x:c>
      <x:c r="H109" s="6" t="str">
        <x:v>-FT100:+</x:v>
      </x:c>
      <x:c r="I109" s="6" t="str">
        <x:v>X102:22</x:v>
      </x:c>
      <x:c r="J109" s="6" t="str">
        <x:v>W0108</x:v>
      </x:c>
      <x:c r="K109" s="6" t="str"/>
      <x:c r="L109" s="6" t="str">
        <x:v>-A104</x:v>
      </x:c>
      <x:c r="M109" s="6" t="str">
        <x:v>=FC01+CP01-A104</x:v>
      </x:c>
      <x:c r="N109" s="6" t="str">
        <x:v>0</x:v>
      </x:c>
      <x:c r="O109" s="6" t="str">
        <x:v>IW64</x:v>
      </x:c>
      <x:c r="P109" s="6" t="str">
        <x:v>+24VDC fused</x:v>
      </x:c>
      <x:c r="Q109" s="6" t="str"/>
      <x:c r="R109" s="6" t="str"/>
      <x:c r="S109" s="6" t="str"/>
      <x:c r="T109" s="6" t="str">
        <x:v>RD</x:v>
      </x:c>
      <x:c r="U109" s="6" t="str">
        <x:v>=FC01+CP01-X24:+24V</x:v>
      </x:c>
      <x:c r="V109" s="6" t="str">
        <x:v>Controlled Rev-D topology; conductor size/terminal family and native QET continuity verification remain open</x:v>
      </x:c>
    </x:row>
    <x:row r="110" ht="27" customHeight="1">
      <x:c r="A110" s="6" t="str">
        <x:v>FLOW_1_MA_RAW</x:v>
      </x:c>
      <x:c r="B110" s="6" t="str">
        <x:v>Analog signal return</x:v>
      </x:c>
      <x:c r="C110" s="6" t="str">
        <x:v>-FT100</x:v>
      </x:c>
      <x:c r="D110" s="6" t="str">
        <x:v>=FC01+FLD-FT100</x:v>
      </x:c>
      <x:c r="E110" s="6" t="str">
        <x:v>SIG-</x:v>
      </x:c>
      <x:c r="F110" s="6" t="str">
        <x:v>C021</x:v>
      </x:c>
      <x:c r="G110" s="6" t="str">
        <x:v>3</x:v>
      </x:c>
      <x:c r="H110" s="6" t="str">
        <x:v>-FT100:SIG-</x:v>
      </x:c>
      <x:c r="I110" s="6" t="str">
        <x:v>X102:23</x:v>
      </x:c>
      <x:c r="J110" s="6" t="str">
        <x:v>W0109</x:v>
      </x:c>
      <x:c r="K110" s="6" t="str"/>
      <x:c r="L110" s="6" t="str">
        <x:v>-A104</x:v>
      </x:c>
      <x:c r="M110" s="6" t="str">
        <x:v>=FC01+CP01-A104</x:v>
      </x:c>
      <x:c r="N110" s="6" t="str">
        <x:v>0</x:v>
      </x:c>
      <x:c r="O110" s="6" t="str">
        <x:v>IW64</x:v>
      </x:c>
      <x:c r="P110" s="6" t="str">
        <x:v>0V analog</x:v>
      </x:c>
      <x:c r="Q110" s="6" t="str">
        <x:v>X0:MANA</x:v>
      </x:c>
      <x:c r="R110" s="6" t="str"/>
      <x:c r="S110" s="6" t="str"/>
      <x:c r="T110" s="6" t="str">
        <x:v>BU</x:v>
      </x:c>
      <x:c r="U110" s="6" t="str">
        <x:v>=FC01+CP01-A104:0 MANA</x:v>
      </x:c>
      <x:c r="V110" s="6" t="str">
        <x:v>Controlled Rev-D topology; conductor size/terminal family and native QET continuity verification remain open</x:v>
      </x:c>
    </x:row>
    <x:row r="111" ht="27" customHeight="1">
      <x:c r="A111" s="6" t="str">
        <x:v>FLOW_1_MA_RAW</x:v>
      </x:c>
      <x:c r="B111" s="6" t="str">
        <x:v>Cable shield</x:v>
      </x:c>
      <x:c r="C111" s="6" t="str">
        <x:v>-FT100</x:v>
      </x:c>
      <x:c r="D111" s="6" t="str">
        <x:v>=FC01+FLD-FT100</x:v>
      </x:c>
      <x:c r="E111" s="6" t="str">
        <x:v>SH</x:v>
      </x:c>
      <x:c r="F111" s="6" t="str">
        <x:v>C021</x:v>
      </x:c>
      <x:c r="G111" s="6" t="str">
        <x:v>SH</x:v>
      </x:c>
      <x:c r="H111" s="6" t="str">
        <x:v>-FT100:SH</x:v>
      </x:c>
      <x:c r="I111" s="6" t="str">
        <x:v>X102:24</x:v>
      </x:c>
      <x:c r="J111" s="6" t="str">
        <x:v>W0110</x:v>
      </x:c>
      <x:c r="K111" s="6" t="str"/>
      <x:c r="L111" s="6" t="str">
        <x:v>-A104</x:v>
      </x:c>
      <x:c r="M111" s="6" t="str">
        <x:v>=FC01+CP01-A104</x:v>
      </x:c>
      <x:c r="N111" s="6" t="str">
        <x:v>0</x:v>
      </x:c>
      <x:c r="O111" s="6" t="str">
        <x:v>IW64</x:v>
      </x:c>
      <x:c r="P111" s="6" t="str">
        <x:v>FE</x:v>
      </x:c>
      <x:c r="Q111" s="6" t="str"/>
      <x:c r="R111" s="6" t="str">
        <x:v>SC100 panel-end only</x:v>
      </x:c>
      <x:c r="S111" s="6" t="str"/>
      <x:c r="T111" s="6" t="str"/>
      <x:c r="U111" s="6" t="str">
        <x:v>=FC01+CP01-SC100:1</x:v>
      </x:c>
      <x:c r="V111" s="6" t="str">
        <x:v>Controlled Rev-D topology; conductor size/terminal family and native QET continuity verification remain open</x:v>
      </x:c>
    </x:row>
    <x:row r="112" ht="27" customHeight="1">
      <x:c r="A112" s="6" t="str">
        <x:v>FLOW_2_MA_RAW</x:v>
      </x:c>
      <x:c r="B112" s="6" t="str">
        <x:v>4-20 mA signal positive</x:v>
      </x:c>
      <x:c r="C112" s="6" t="str">
        <x:v>-FT101</x:v>
      </x:c>
      <x:c r="D112" s="6" t="str">
        <x:v>=FC01+FLD-FT101</x:v>
      </x:c>
      <x:c r="E112" s="6" t="str">
        <x:v>SIG+</x:v>
      </x:c>
      <x:c r="F112" s="6" t="str">
        <x:v>C022</x:v>
      </x:c>
      <x:c r="G112" s="6" t="str">
        <x:v>1</x:v>
      </x:c>
      <x:c r="H112" s="6" t="str">
        <x:v>-FT101:SIG+</x:v>
      </x:c>
      <x:c r="I112" s="6" t="str">
        <x:v>X103:1</x:v>
      </x:c>
      <x:c r="J112" s="6" t="str">
        <x:v>W0111</x:v>
      </x:c>
      <x:c r="K112" s="6" t="str"/>
      <x:c r="L112" s="6" t="str">
        <x:v>-A104</x:v>
      </x:c>
      <x:c r="M112" s="6" t="str">
        <x:v>=FC01+CP01-A104</x:v>
      </x:c>
      <x:c r="N112" s="6" t="str">
        <x:v>1</x:v>
      </x:c>
      <x:c r="O112" s="6" t="str">
        <x:v>IW66</x:v>
      </x:c>
      <x:c r="P112" s="6" t="str">
        <x:v>4-20mA</x:v>
      </x:c>
      <x:c r="Q112" s="6" t="str"/>
      <x:c r="R112" s="6" t="str"/>
      <x:c r="S112" s="6" t="str"/>
      <x:c r="T112" s="6" t="str">
        <x:v>WH</x:v>
      </x:c>
      <x:c r="U112" s="6" t="str">
        <x:v>=FC01+CP01-A104:1 AI+</x:v>
      </x:c>
      <x:c r="V112" s="6" t="str">
        <x:v>Controlled Rev-D topology; conductor size/terminal family and native QET continuity verification remain open</x:v>
      </x:c>
    </x:row>
    <x:row r="113" ht="27" customHeight="1">
      <x:c r="A113" s="6" t="str">
        <x:v>FLOW_2_MA_RAW</x:v>
      </x:c>
      <x:c r="B113" s="6" t="str">
        <x:v>Instrument supply</x:v>
      </x:c>
      <x:c r="C113" s="6" t="str">
        <x:v>-FT101</x:v>
      </x:c>
      <x:c r="D113" s="6" t="str">
        <x:v>=FC01+FLD-FT101</x:v>
      </x:c>
      <x:c r="E113" s="6" t="str">
        <x:v>+</x:v>
      </x:c>
      <x:c r="F113" s="6" t="str">
        <x:v>C022</x:v>
      </x:c>
      <x:c r="G113" s="6" t="str">
        <x:v>2</x:v>
      </x:c>
      <x:c r="H113" s="6" t="str">
        <x:v>-FT101:+</x:v>
      </x:c>
      <x:c r="I113" s="6" t="str">
        <x:v>X103:2</x:v>
      </x:c>
      <x:c r="J113" s="6" t="str">
        <x:v>W0112</x:v>
      </x:c>
      <x:c r="K113" s="6" t="str"/>
      <x:c r="L113" s="6" t="str">
        <x:v>-A104</x:v>
      </x:c>
      <x:c r="M113" s="6" t="str">
        <x:v>=FC01+CP01-A104</x:v>
      </x:c>
      <x:c r="N113" s="6" t="str">
        <x:v>1</x:v>
      </x:c>
      <x:c r="O113" s="6" t="str">
        <x:v>IW66</x:v>
      </x:c>
      <x:c r="P113" s="6" t="str">
        <x:v>+24VDC fused</x:v>
      </x:c>
      <x:c r="Q113" s="6" t="str"/>
      <x:c r="R113" s="6" t="str"/>
      <x:c r="S113" s="6" t="str"/>
      <x:c r="T113" s="6" t="str">
        <x:v>RD</x:v>
      </x:c>
      <x:c r="U113" s="6" t="str">
        <x:v>=FC01+CP01-X24:+24V</x:v>
      </x:c>
      <x:c r="V113" s="6" t="str">
        <x:v>Controlled Rev-D topology; conductor size/terminal family and native QET continuity verification remain open</x:v>
      </x:c>
    </x:row>
    <x:row r="114" ht="27" customHeight="1">
      <x:c r="A114" s="6" t="str">
        <x:v>FLOW_2_MA_RAW</x:v>
      </x:c>
      <x:c r="B114" s="6" t="str">
        <x:v>Analog signal return</x:v>
      </x:c>
      <x:c r="C114" s="6" t="str">
        <x:v>-FT101</x:v>
      </x:c>
      <x:c r="D114" s="6" t="str">
        <x:v>=FC01+FLD-FT101</x:v>
      </x:c>
      <x:c r="E114" s="6" t="str">
        <x:v>SIG-</x:v>
      </x:c>
      <x:c r="F114" s="6" t="str">
        <x:v>C022</x:v>
      </x:c>
      <x:c r="G114" s="6" t="str">
        <x:v>3</x:v>
      </x:c>
      <x:c r="H114" s="6" t="str">
        <x:v>-FT101:SIG-</x:v>
      </x:c>
      <x:c r="I114" s="6" t="str">
        <x:v>X103:3</x:v>
      </x:c>
      <x:c r="J114" s="6" t="str">
        <x:v>W0113</x:v>
      </x:c>
      <x:c r="K114" s="6" t="str"/>
      <x:c r="L114" s="6" t="str">
        <x:v>-A104</x:v>
      </x:c>
      <x:c r="M114" s="6" t="str">
        <x:v>=FC01+CP01-A104</x:v>
      </x:c>
      <x:c r="N114" s="6" t="str">
        <x:v>1</x:v>
      </x:c>
      <x:c r="O114" s="6" t="str">
        <x:v>IW66</x:v>
      </x:c>
      <x:c r="P114" s="6" t="str">
        <x:v>0V analog</x:v>
      </x:c>
      <x:c r="Q114" s="6" t="str">
        <x:v>X0:MANA</x:v>
      </x:c>
      <x:c r="R114" s="6" t="str"/>
      <x:c r="S114" s="6" t="str"/>
      <x:c r="T114" s="6" t="str">
        <x:v>BU</x:v>
      </x:c>
      <x:c r="U114" s="6" t="str">
        <x:v>=FC01+CP01-A104:1 MANA</x:v>
      </x:c>
      <x:c r="V114" s="6" t="str">
        <x:v>Controlled Rev-D topology; conductor size/terminal family and native QET continuity verification remain open</x:v>
      </x:c>
    </x:row>
    <x:row r="115" ht="27" customHeight="1">
      <x:c r="A115" s="6" t="str">
        <x:v>FLOW_2_MA_RAW</x:v>
      </x:c>
      <x:c r="B115" s="6" t="str">
        <x:v>Cable shield</x:v>
      </x:c>
      <x:c r="C115" s="6" t="str">
        <x:v>-FT101</x:v>
      </x:c>
      <x:c r="D115" s="6" t="str">
        <x:v>=FC01+FLD-FT101</x:v>
      </x:c>
      <x:c r="E115" s="6" t="str">
        <x:v>SH</x:v>
      </x:c>
      <x:c r="F115" s="6" t="str">
        <x:v>C022</x:v>
      </x:c>
      <x:c r="G115" s="6" t="str">
        <x:v>SH</x:v>
      </x:c>
      <x:c r="H115" s="6" t="str">
        <x:v>-FT101:SH</x:v>
      </x:c>
      <x:c r="I115" s="6" t="str">
        <x:v>X103:4</x:v>
      </x:c>
      <x:c r="J115" s="6" t="str">
        <x:v>W0114</x:v>
      </x:c>
      <x:c r="K115" s="6" t="str"/>
      <x:c r="L115" s="6" t="str">
        <x:v>-A104</x:v>
      </x:c>
      <x:c r="M115" s="6" t="str">
        <x:v>=FC01+CP01-A104</x:v>
      </x:c>
      <x:c r="N115" s="6" t="str">
        <x:v>1</x:v>
      </x:c>
      <x:c r="O115" s="6" t="str">
        <x:v>IW66</x:v>
      </x:c>
      <x:c r="P115" s="6" t="str">
        <x:v>FE</x:v>
      </x:c>
      <x:c r="Q115" s="6" t="str"/>
      <x:c r="R115" s="6" t="str">
        <x:v>SC100 panel-end only</x:v>
      </x:c>
      <x:c r="S115" s="6" t="str"/>
      <x:c r="T115" s="6" t="str"/>
      <x:c r="U115" s="6" t="str">
        <x:v>=FC01+CP01-SC100:1</x:v>
      </x:c>
      <x:c r="V115" s="6" t="str">
        <x:v>Controlled Rev-D topology; conductor size/terminal family and native QET continuity verification remain open</x:v>
      </x:c>
    </x:row>
    <x:row r="116" ht="27" customHeight="1">
      <x:c r="A116" s="6" t="str">
        <x:v>FLOW_1_PULSE</x:v>
      </x:c>
      <x:c r="B116" s="6" t="str">
        <x:v>Counter pulse</x:v>
      </x:c>
      <x:c r="C116" s="6" t="str">
        <x:v>-FT100</x:v>
      </x:c>
      <x:c r="D116" s="6" t="str">
        <x:v>=FC01+FLD-FT100</x:v>
      </x:c>
      <x:c r="E116" s="6" t="str">
        <x:v>PULSE</x:v>
      </x:c>
      <x:c r="F116" s="6" t="str">
        <x:v>C021</x:v>
      </x:c>
      <x:c r="G116" s="6" t="str">
        <x:v>4</x:v>
      </x:c>
      <x:c r="H116" s="6" t="str">
        <x:v>-FT100:PULSE</x:v>
      </x:c>
      <x:c r="I116" s="6" t="str">
        <x:v>X103:5</x:v>
      </x:c>
      <x:c r="J116" s="6" t="str">
        <x:v>W0115</x:v>
      </x:c>
      <x:c r="K116" s="6" t="str"/>
      <x:c r="L116" s="6" t="str">
        <x:v>-A101</x:v>
      </x:c>
      <x:c r="M116" s="6" t="str">
        <x:v>=FC01+CP01-A101</x:v>
      </x:c>
      <x:c r="N116" s="6" t="str">
        <x:v>CH0 A</x:v>
      </x:c>
      <x:c r="O116" s="6" t="str">
        <x:v>TM1.CH0.A</x:v>
      </x:c>
      <x:c r="P116" s="6" t="str">
        <x:v>24 V pulse</x:v>
      </x:c>
      <x:c r="Q116" s="6" t="str"/>
      <x:c r="R116" s="6" t="str"/>
      <x:c r="S116" s="6" t="str"/>
      <x:c r="T116" s="6" t="str">
        <x:v>WH</x:v>
      </x:c>
      <x:c r="U116" s="6" t="str">
        <x:v>=FC01+CP01-A101:CH0 A CLK</x:v>
      </x:c>
      <x:c r="V116" s="6" t="str">
        <x:v>Controlled Rev-D topology; conductor size/terminal family and native QET continuity verification remain open</x:v>
      </x:c>
    </x:row>
    <x:row r="117" ht="27" customHeight="1">
      <x:c r="A117" s="6" t="str">
        <x:v>FLOW_1_PULSE</x:v>
      </x:c>
      <x:c r="B117" s="6" t="str">
        <x:v>Counter reference</x:v>
      </x:c>
      <x:c r="C117" s="6" t="str">
        <x:v>-FT100</x:v>
      </x:c>
      <x:c r="D117" s="6" t="str">
        <x:v>=FC01+FLD-FT100</x:v>
      </x:c>
      <x:c r="E117" s="6" t="str">
        <x:v>0V</x:v>
      </x:c>
      <x:c r="F117" s="6" t="str">
        <x:v>C021</x:v>
      </x:c>
      <x:c r="G117" s="6" t="str">
        <x:v>5</x:v>
      </x:c>
      <x:c r="H117" s="6" t="str">
        <x:v>-FT100:0V</x:v>
      </x:c>
      <x:c r="I117" s="6" t="str">
        <x:v>X103:6</x:v>
      </x:c>
      <x:c r="J117" s="6" t="str">
        <x:v>W0116</x:v>
      </x:c>
      <x:c r="K117" s="6" t="str"/>
      <x:c r="L117" s="6" t="str">
        <x:v>-A101</x:v>
      </x:c>
      <x:c r="M117" s="6" t="str">
        <x:v>=FC01+CP01-A101</x:v>
      </x:c>
      <x:c r="N117" s="6" t="str">
        <x:v>CH0 A</x:v>
      </x:c>
      <x:c r="O117" s="6" t="str">
        <x:v>TM1.CH0.A</x:v>
      </x:c>
      <x:c r="P117" s="6" t="str">
        <x:v>0V</x:v>
      </x:c>
      <x:c r="Q117" s="6" t="str">
        <x:v>X0:0V</x:v>
      </x:c>
      <x:c r="R117" s="6" t="str"/>
      <x:c r="S117" s="6" t="str"/>
      <x:c r="T117" s="6" t="str">
        <x:v>BU</x:v>
      </x:c>
      <x:c r="U117" s="6" t="str">
        <x:v>=FC01+CP01-A101:CH0 A M</x:v>
      </x:c>
      <x:c r="V117" s="6" t="str">
        <x:v>Controlled Rev-D topology; conductor size/terminal family and native QET continuity verification remain open</x:v>
      </x:c>
    </x:row>
    <x:row r="118" ht="27" customHeight="1">
      <x:c r="A118" s="6" t="str">
        <x:v>FLOW_2_PULSE</x:v>
      </x:c>
      <x:c r="B118" s="6" t="str">
        <x:v>Counter pulse</x:v>
      </x:c>
      <x:c r="C118" s="6" t="str">
        <x:v>-FT101</x:v>
      </x:c>
      <x:c r="D118" s="6" t="str">
        <x:v>=FC01+FLD-FT101</x:v>
      </x:c>
      <x:c r="E118" s="6" t="str">
        <x:v>PULSE</x:v>
      </x:c>
      <x:c r="F118" s="6" t="str">
        <x:v>C022</x:v>
      </x:c>
      <x:c r="G118" s="6" t="str">
        <x:v>4</x:v>
      </x:c>
      <x:c r="H118" s="6" t="str">
        <x:v>-FT101:PULSE</x:v>
      </x:c>
      <x:c r="I118" s="6" t="str">
        <x:v>X103:7</x:v>
      </x:c>
      <x:c r="J118" s="6" t="str">
        <x:v>W0117</x:v>
      </x:c>
      <x:c r="K118" s="6" t="str"/>
      <x:c r="L118" s="6" t="str">
        <x:v>-A101</x:v>
      </x:c>
      <x:c r="M118" s="6" t="str">
        <x:v>=FC01+CP01-A101</x:v>
      </x:c>
      <x:c r="N118" s="6" t="str">
        <x:v>CH1 A</x:v>
      </x:c>
      <x:c r="O118" s="6" t="str">
        <x:v>TM1.CH1.A</x:v>
      </x:c>
      <x:c r="P118" s="6" t="str">
        <x:v>24 V pulse</x:v>
      </x:c>
      <x:c r="Q118" s="6" t="str"/>
      <x:c r="R118" s="6" t="str"/>
      <x:c r="S118" s="6" t="str"/>
      <x:c r="T118" s="6" t="str">
        <x:v>WH</x:v>
      </x:c>
      <x:c r="U118" s="6" t="str">
        <x:v>=FC01+CP01-A101:CH1 A CLK</x:v>
      </x:c>
      <x:c r="V118" s="6" t="str">
        <x:v>Controlled Rev-D topology; conductor size/terminal family and native QET continuity verification remain open</x:v>
      </x:c>
    </x:row>
    <x:row r="119" ht="27" customHeight="1">
      <x:c r="A119" s="6" t="str">
        <x:v>FLOW_2_PULSE</x:v>
      </x:c>
      <x:c r="B119" s="6" t="str">
        <x:v>Counter reference</x:v>
      </x:c>
      <x:c r="C119" s="6" t="str">
        <x:v>-FT101</x:v>
      </x:c>
      <x:c r="D119" s="6" t="str">
        <x:v>=FC01+FLD-FT101</x:v>
      </x:c>
      <x:c r="E119" s="6" t="str">
        <x:v>0V</x:v>
      </x:c>
      <x:c r="F119" s="6" t="str">
        <x:v>C022</x:v>
      </x:c>
      <x:c r="G119" s="6" t="str">
        <x:v>5</x:v>
      </x:c>
      <x:c r="H119" s="6" t="str">
        <x:v>-FT101:0V</x:v>
      </x:c>
      <x:c r="I119" s="6" t="str">
        <x:v>X103:8</x:v>
      </x:c>
      <x:c r="J119" s="6" t="str">
        <x:v>W0118</x:v>
      </x:c>
      <x:c r="K119" s="6" t="str"/>
      <x:c r="L119" s="6" t="str">
        <x:v>-A101</x:v>
      </x:c>
      <x:c r="M119" s="6" t="str">
        <x:v>=FC01+CP01-A101</x:v>
      </x:c>
      <x:c r="N119" s="6" t="str">
        <x:v>CH1 A</x:v>
      </x:c>
      <x:c r="O119" s="6" t="str">
        <x:v>TM1.CH1.A</x:v>
      </x:c>
      <x:c r="P119" s="6" t="str">
        <x:v>0V</x:v>
      </x:c>
      <x:c r="Q119" s="6" t="str">
        <x:v>X0:0V</x:v>
      </x:c>
      <x:c r="R119" s="6" t="str"/>
      <x:c r="S119" s="6" t="str"/>
      <x:c r="T119" s="6" t="str">
        <x:v>BU</x:v>
      </x:c>
      <x:c r="U119" s="6" t="str">
        <x:v>=FC01+CP01-A101:CH1 A M</x:v>
      </x:c>
      <x:c r="V119" s="6" t="str">
        <x:v>Controlled Rev-D topology; conductor size/terminal family and native QET continuity verification remain open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22.5" hidden="0" customWidth="1"/>
  </x:cols>
  <x:sheetData>
    <x:row r="1" ht="31.5" customHeight="1">
      <x:c r="A1" s="12" t="str">
        <x:v>cable_id</x:v>
      </x:c>
      <x:c r="B1" s="12" t="str">
        <x:v>from_location</x:v>
      </x:c>
      <x:c r="C1" s="12" t="str">
        <x:v>to_device</x:v>
      </x:c>
      <x:c r="D1" s="12" t="str">
        <x:v>to_designation</x:v>
      </x:c>
      <x:c r="E1" s="12" t="str">
        <x:v>cable_type</x:v>
      </x:c>
      <x:c r="F1" s="12" t="str">
        <x:v>installed_cores</x:v>
      </x:c>
      <x:c r="G1" s="12" t="str">
        <x:v>allocated_cores</x:v>
      </x:c>
      <x:c r="H1" s="12" t="str">
        <x:v>spare_cores</x:v>
      </x:c>
      <x:c r="I1" s="12" t="str">
        <x:v>core_range</x:v>
      </x:c>
      <x:c r="J1" s="12" t="str">
        <x:v>shield</x:v>
      </x:c>
      <x:c r="K1" s="12" t="str">
        <x:v>route_zone</x:v>
      </x:c>
      <x:c r="L1" s="12" t="str">
        <x:v>status</x:v>
      </x:c>
    </x:row>
    <x:row r="2" ht="27" customHeight="1">
      <x:c r="A2" s="6" t="str">
        <x:v>C001</x:v>
      </x:c>
      <x:c r="B2" s="6" t="str">
        <x:v>=FC01+CP01 panel terminals</x:v>
      </x:c>
      <x:c r="C2" s="6" t="str">
        <x:v>-S102</x:v>
      </x:c>
      <x:c r="D2" s="6" t="str">
        <x:v>=FC01+FLD-S102</x:v>
      </x:c>
      <x:c r="E2" s="6" t="str">
        <x:v>Industrial control</x:v>
      </x:c>
      <x:c r="F2" s="6" t="str">
        <x:v>4</x:v>
      </x:c>
      <x:c r="G2" s="6" t="str">
        <x:v>2</x:v>
      </x:c>
      <x:c r="H2" s="6" t="str">
        <x:v>2</x:v>
      </x:c>
      <x:c r="I2" s="6" t="str">
        <x:v>1-2</x:v>
      </x:c>
      <x:c r="J2" s="6" t="str">
        <x:v>None scheduled</x:v>
      </x:c>
      <x:c r="K2" s="6" t="str">
        <x:v>24 VDC control</x:v>
      </x:c>
      <x:c r="L2" s="6" t="str">
        <x:v>Length, conductor size, installation method and final cable family open</x:v>
      </x:c>
    </x:row>
    <x:row r="3" ht="27" customHeight="1">
      <x:c r="A3" s="6" t="str">
        <x:v>C002</x:v>
      </x:c>
      <x:c r="B3" s="6" t="str">
        <x:v>=FC01+CP01 panel terminals</x:v>
      </x:c>
      <x:c r="C3" s="6" t="str">
        <x:v>-B100</x:v>
      </x:c>
      <x:c r="D3" s="6" t="str">
        <x:v>=FC01+FLD-B100</x:v>
      </x:c>
      <x:c r="E3" s="6" t="str">
        <x:v>Industrial control</x:v>
      </x:c>
      <x:c r="F3" s="6" t="str">
        <x:v>4</x:v>
      </x:c>
      <x:c r="G3" s="6" t="str">
        <x:v>3</x:v>
      </x:c>
      <x:c r="H3" s="6" t="str">
        <x:v>1</x:v>
      </x:c>
      <x:c r="I3" s="6" t="str">
        <x:v>1-3</x:v>
      </x:c>
      <x:c r="J3" s="6" t="str">
        <x:v>None scheduled</x:v>
      </x:c>
      <x:c r="K3" s="6" t="str">
        <x:v>24 VDC control</x:v>
      </x:c>
      <x:c r="L3" s="6" t="str">
        <x:v>Length, conductor size, installation method and final cable family open</x:v>
      </x:c>
    </x:row>
    <x:row r="4" ht="27" customHeight="1">
      <x:c r="A4" s="6" t="str">
        <x:v>C003</x:v>
      </x:c>
      <x:c r="B4" s="6" t="str">
        <x:v>=FC01+CP01 panel terminals</x:v>
      </x:c>
      <x:c r="C4" s="6" t="str">
        <x:v>-B101</x:v>
      </x:c>
      <x:c r="D4" s="6" t="str">
        <x:v>=FC01+FLD-B101</x:v>
      </x:c>
      <x:c r="E4" s="6" t="str">
        <x:v>Industrial control</x:v>
      </x:c>
      <x:c r="F4" s="6" t="str">
        <x:v>4</x:v>
      </x:c>
      <x:c r="G4" s="6" t="str">
        <x:v>3</x:v>
      </x:c>
      <x:c r="H4" s="6" t="str">
        <x:v>1</x:v>
      </x:c>
      <x:c r="I4" s="6" t="str">
        <x:v>1-3</x:v>
      </x:c>
      <x:c r="J4" s="6" t="str">
        <x:v>None scheduled</x:v>
      </x:c>
      <x:c r="K4" s="6" t="str">
        <x:v>24 VDC control</x:v>
      </x:c>
      <x:c r="L4" s="6" t="str">
        <x:v>Length, conductor size, installation method and final cable family open</x:v>
      </x:c>
    </x:row>
    <x:row r="5" ht="27" customHeight="1">
      <x:c r="A5" s="6" t="str">
        <x:v>C004</x:v>
      </x:c>
      <x:c r="B5" s="6" t="str">
        <x:v>=FC01+CP01 panel terminals</x:v>
      </x:c>
      <x:c r="C5" s="6" t="str">
        <x:v>-B110</x:v>
      </x:c>
      <x:c r="D5" s="6" t="str">
        <x:v>=FC01+FLD-B110</x:v>
      </x:c>
      <x:c r="E5" s="6" t="str">
        <x:v>Industrial control</x:v>
      </x:c>
      <x:c r="F5" s="6" t="str">
        <x:v>4</x:v>
      </x:c>
      <x:c r="G5" s="6" t="str">
        <x:v>3</x:v>
      </x:c>
      <x:c r="H5" s="6" t="str">
        <x:v>1</x:v>
      </x:c>
      <x:c r="I5" s="6" t="str">
        <x:v>1-3</x:v>
      </x:c>
      <x:c r="J5" s="6" t="str">
        <x:v>None scheduled</x:v>
      </x:c>
      <x:c r="K5" s="6" t="str">
        <x:v>24 VDC control</x:v>
      </x:c>
      <x:c r="L5" s="6" t="str">
        <x:v>Length, conductor size, installation method and final cable family open</x:v>
      </x:c>
    </x:row>
    <x:row r="6" ht="27" customHeight="1">
      <x:c r="A6" s="6" t="str">
        <x:v>C005</x:v>
      </x:c>
      <x:c r="B6" s="6" t="str">
        <x:v>=FC01+CP01 panel terminals</x:v>
      </x:c>
      <x:c r="C6" s="6" t="str">
        <x:v>-B111</x:v>
      </x:c>
      <x:c r="D6" s="6" t="str">
        <x:v>=FC01+FLD-B111</x:v>
      </x:c>
      <x:c r="E6" s="6" t="str">
        <x:v>Industrial control</x:v>
      </x:c>
      <x:c r="F6" s="6" t="str">
        <x:v>4</x:v>
      </x:c>
      <x:c r="G6" s="6" t="str">
        <x:v>3</x:v>
      </x:c>
      <x:c r="H6" s="6" t="str">
        <x:v>1</x:v>
      </x:c>
      <x:c r="I6" s="6" t="str">
        <x:v>1-3</x:v>
      </x:c>
      <x:c r="J6" s="6" t="str">
        <x:v>None scheduled</x:v>
      </x:c>
      <x:c r="K6" s="6" t="str">
        <x:v>24 VDC control</x:v>
      </x:c>
      <x:c r="L6" s="6" t="str">
        <x:v>Length, conductor size, installation method and final cable family open</x:v>
      </x:c>
    </x:row>
    <x:row r="7" ht="27" customHeight="1">
      <x:c r="A7" s="6" t="str">
        <x:v>C006</x:v>
      </x:c>
      <x:c r="B7" s="6" t="str">
        <x:v>=FC01+CP01 panel terminals</x:v>
      </x:c>
      <x:c r="C7" s="6" t="str">
        <x:v>-B120</x:v>
      </x:c>
      <x:c r="D7" s="6" t="str">
        <x:v>=FC01+FLD-B120</x:v>
      </x:c>
      <x:c r="E7" s="6" t="str">
        <x:v>Industrial control</x:v>
      </x:c>
      <x:c r="F7" s="6" t="str">
        <x:v>4</x:v>
      </x:c>
      <x:c r="G7" s="6" t="str">
        <x:v>3</x:v>
      </x:c>
      <x:c r="H7" s="6" t="str">
        <x:v>1</x:v>
      </x:c>
      <x:c r="I7" s="6" t="str">
        <x:v>1-3</x:v>
      </x:c>
      <x:c r="J7" s="6" t="str">
        <x:v>None scheduled</x:v>
      </x:c>
      <x:c r="K7" s="6" t="str">
        <x:v>24 VDC control</x:v>
      </x:c>
      <x:c r="L7" s="6" t="str">
        <x:v>Length, conductor size, installation method and final cable family open</x:v>
      </x:c>
    </x:row>
    <x:row r="8" ht="27" customHeight="1">
      <x:c r="A8" s="6" t="str">
        <x:v>C007</x:v>
      </x:c>
      <x:c r="B8" s="6" t="str">
        <x:v>=FC01+CP01 panel terminals</x:v>
      </x:c>
      <x:c r="C8" s="6" t="str">
        <x:v>-B121</x:v>
      </x:c>
      <x:c r="D8" s="6" t="str">
        <x:v>=FC01+FLD-B121</x:v>
      </x:c>
      <x:c r="E8" s="6" t="str">
        <x:v>Industrial control</x:v>
      </x:c>
      <x:c r="F8" s="6" t="str">
        <x:v>4</x:v>
      </x:c>
      <x:c r="G8" s="6" t="str">
        <x:v>3</x:v>
      </x:c>
      <x:c r="H8" s="6" t="str">
        <x:v>1</x:v>
      </x:c>
      <x:c r="I8" s="6" t="str">
        <x:v>1-3</x:v>
      </x:c>
      <x:c r="J8" s="6" t="str">
        <x:v>None scheduled</x:v>
      </x:c>
      <x:c r="K8" s="6" t="str">
        <x:v>24 VDC control</x:v>
      </x:c>
      <x:c r="L8" s="6" t="str">
        <x:v>Length, conductor size, installation method and final cable family open</x:v>
      </x:c>
    </x:row>
    <x:row r="9" ht="27" customHeight="1">
      <x:c r="A9" s="6" t="str">
        <x:v>C008</x:v>
      </x:c>
      <x:c r="B9" s="6" t="str">
        <x:v>=FC01+CP01 panel terminals</x:v>
      </x:c>
      <x:c r="C9" s="6" t="str">
        <x:v>-B122</x:v>
      </x:c>
      <x:c r="D9" s="6" t="str">
        <x:v>=FC01+FLD-B122</x:v>
      </x:c>
      <x:c r="E9" s="6" t="str">
        <x:v>Industrial control</x:v>
      </x:c>
      <x:c r="F9" s="6" t="str">
        <x:v>4</x:v>
      </x:c>
      <x:c r="G9" s="6" t="str">
        <x:v>3</x:v>
      </x:c>
      <x:c r="H9" s="6" t="str">
        <x:v>1</x:v>
      </x:c>
      <x:c r="I9" s="6" t="str">
        <x:v>1-3</x:v>
      </x:c>
      <x:c r="J9" s="6" t="str">
        <x:v>None scheduled</x:v>
      </x:c>
      <x:c r="K9" s="6" t="str">
        <x:v>24 VDC control</x:v>
      </x:c>
      <x:c r="L9" s="6" t="str">
        <x:v>Length, conductor size, installation method and final cable family open</x:v>
      </x:c>
    </x:row>
    <x:row r="10" ht="27" customHeight="1">
      <x:c r="A10" s="6" t="str">
        <x:v>C009</x:v>
      </x:c>
      <x:c r="B10" s="6" t="str">
        <x:v>=FC01+CP01 panel terminals</x:v>
      </x:c>
      <x:c r="C10" s="6" t="str">
        <x:v>-B123</x:v>
      </x:c>
      <x:c r="D10" s="6" t="str">
        <x:v>=FC01+FLD-B123</x:v>
      </x:c>
      <x:c r="E10" s="6" t="str">
        <x:v>Industrial control</x:v>
      </x:c>
      <x:c r="F10" s="6" t="str">
        <x:v>4</x:v>
      </x:c>
      <x:c r="G10" s="6" t="str">
        <x:v>3</x:v>
      </x:c>
      <x:c r="H10" s="6" t="str">
        <x:v>1</x:v>
      </x:c>
      <x:c r="I10" s="6" t="str">
        <x:v>1-3</x:v>
      </x:c>
      <x:c r="J10" s="6" t="str">
        <x:v>None scheduled</x:v>
      </x:c>
      <x:c r="K10" s="6" t="str">
        <x:v>24 VDC control</x:v>
      </x:c>
      <x:c r="L10" s="6" t="str">
        <x:v>Length, conductor size, installation method and final cable family open</x:v>
      </x:c>
    </x:row>
    <x:row r="11" ht="27" customHeight="1">
      <x:c r="A11" s="6" t="str">
        <x:v>C010</x:v>
      </x:c>
      <x:c r="B11" s="6" t="str">
        <x:v>=FC01+CP01 panel terminals</x:v>
      </x:c>
      <x:c r="C11" s="6" t="str">
        <x:v>-B130</x:v>
      </x:c>
      <x:c r="D11" s="6" t="str">
        <x:v>=FC01+FLD-B130</x:v>
      </x:c>
      <x:c r="E11" s="6" t="str">
        <x:v>Industrial control</x:v>
      </x:c>
      <x:c r="F11" s="6" t="str">
        <x:v>4</x:v>
      </x:c>
      <x:c r="G11" s="6" t="str">
        <x:v>3</x:v>
      </x:c>
      <x:c r="H11" s="6" t="str">
        <x:v>1</x:v>
      </x:c>
      <x:c r="I11" s="6" t="str">
        <x:v>1-3</x:v>
      </x:c>
      <x:c r="J11" s="6" t="str">
        <x:v>None scheduled</x:v>
      </x:c>
      <x:c r="K11" s="6" t="str">
        <x:v>24 VDC control</x:v>
      </x:c>
      <x:c r="L11" s="6" t="str">
        <x:v>Length, conductor size, installation method and final cable family open</x:v>
      </x:c>
    </x:row>
    <x:row r="12" ht="27" customHeight="1">
      <x:c r="A12" s="6" t="str">
        <x:v>C011</x:v>
      </x:c>
      <x:c r="B12" s="6" t="str">
        <x:v>=FC01+CP01 panel terminals</x:v>
      </x:c>
      <x:c r="C12" s="6" t="str">
        <x:v>-B131</x:v>
      </x:c>
      <x:c r="D12" s="6" t="str">
        <x:v>=FC01+FLD-B131</x:v>
      </x:c>
      <x:c r="E12" s="6" t="str">
        <x:v>Industrial control</x:v>
      </x:c>
      <x:c r="F12" s="6" t="str">
        <x:v>4</x:v>
      </x:c>
      <x:c r="G12" s="6" t="str">
        <x:v>3</x:v>
      </x:c>
      <x:c r="H12" s="6" t="str">
        <x:v>1</x:v>
      </x:c>
      <x:c r="I12" s="6" t="str">
        <x:v>1-3</x:v>
      </x:c>
      <x:c r="J12" s="6" t="str">
        <x:v>None scheduled</x:v>
      </x:c>
      <x:c r="K12" s="6" t="str">
        <x:v>24 VDC control</x:v>
      </x:c>
      <x:c r="L12" s="6" t="str">
        <x:v>Length, conductor size, installation method and final cable family open</x:v>
      </x:c>
    </x:row>
    <x:row r="13" ht="27" customHeight="1">
      <x:c r="A13" s="6" t="str">
        <x:v>C012</x:v>
      </x:c>
      <x:c r="B13" s="6" t="str">
        <x:v>=FC01+CP01 panel terminals</x:v>
      </x:c>
      <x:c r="C13" s="6" t="str">
        <x:v>-IF140</x:v>
      </x:c>
      <x:c r="D13" s="6" t="str">
        <x:v>=FC01+FLD-IF140</x:v>
      </x:c>
      <x:c r="E13" s="6" t="str">
        <x:v>Industrial control</x:v>
      </x:c>
      <x:c r="F13" s="6" t="str">
        <x:v>12</x:v>
      </x:c>
      <x:c r="G13" s="6" t="str">
        <x:v>8</x:v>
      </x:c>
      <x:c r="H13" s="6" t="str">
        <x:v>4</x:v>
      </x:c>
      <x:c r="I13" s="6" t="str">
        <x:v>1-8</x:v>
      </x:c>
      <x:c r="J13" s="6" t="str">
        <x:v>None scheduled</x:v>
      </x:c>
      <x:c r="K13" s="6" t="str">
        <x:v>24 VDC control</x:v>
      </x:c>
      <x:c r="L13" s="6" t="str">
        <x:v>Length, conductor size, installation method and final cable family open</x:v>
      </x:c>
    </x:row>
    <x:row r="14" ht="27" customHeight="1">
      <x:c r="A14" s="6" t="str">
        <x:v>C013</x:v>
      </x:c>
      <x:c r="B14" s="6" t="str">
        <x:v>=FC01+CP01 panel terminals</x:v>
      </x:c>
      <x:c r="C14" s="6" t="str">
        <x:v>-S100</x:v>
      </x:c>
      <x:c r="D14" s="6" t="str">
        <x:v>=FC01+FLD-S100</x:v>
      </x:c>
      <x:c r="E14" s="6" t="str">
        <x:v>Industrial control</x:v>
      </x:c>
      <x:c r="F14" s="6" t="str">
        <x:v>4</x:v>
      </x:c>
      <x:c r="G14" s="6" t="str">
        <x:v>3</x:v>
      </x:c>
      <x:c r="H14" s="6" t="str">
        <x:v>1</x:v>
      </x:c>
      <x:c r="I14" s="6" t="str">
        <x:v>1-3</x:v>
      </x:c>
      <x:c r="J14" s="6" t="str">
        <x:v>None scheduled</x:v>
      </x:c>
      <x:c r="K14" s="6" t="str">
        <x:v>24 VDC control</x:v>
      </x:c>
      <x:c r="L14" s="6" t="str">
        <x:v>Length, conductor size, installation method and final cable family open</x:v>
      </x:c>
    </x:row>
    <x:row r="15" ht="27" customHeight="1">
      <x:c r="A15" s="6" t="str">
        <x:v>C014</x:v>
      </x:c>
      <x:c r="B15" s="6" t="str">
        <x:v>=FC01+CP01 panel terminals</x:v>
      </x:c>
      <x:c r="C15" s="6" t="str">
        <x:v>-S101</x:v>
      </x:c>
      <x:c r="D15" s="6" t="str">
        <x:v>=FC01+FLD-S101</x:v>
      </x:c>
      <x:c r="E15" s="6" t="str">
        <x:v>Industrial control</x:v>
      </x:c>
      <x:c r="F15" s="6" t="str">
        <x:v>4</x:v>
      </x:c>
      <x:c r="G15" s="6" t="str">
        <x:v>3</x:v>
      </x:c>
      <x:c r="H15" s="6" t="str">
        <x:v>1</x:v>
      </x:c>
      <x:c r="I15" s="6" t="str">
        <x:v>1-3</x:v>
      </x:c>
      <x:c r="J15" s="6" t="str">
        <x:v>None scheduled</x:v>
      </x:c>
      <x:c r="K15" s="6" t="str">
        <x:v>24 VDC control</x:v>
      </x:c>
      <x:c r="L15" s="6" t="str">
        <x:v>Length, conductor size, installation method and final cable family open</x:v>
      </x:c>
    </x:row>
    <x:row r="16" ht="27" customHeight="1">
      <x:c r="A16" s="6" t="str">
        <x:v>C015</x:v>
      </x:c>
      <x:c r="B16" s="6" t="str">
        <x:v>=FC01+CP01 panel terminals</x:v>
      </x:c>
      <x:c r="C16" s="6" t="str">
        <x:v>-YV102</x:v>
      </x:c>
      <x:c r="D16" s="6" t="str">
        <x:v>=FC01+FLD-YV102</x:v>
      </x:c>
      <x:c r="E16" s="6" t="str">
        <x:v>Industrial control</x:v>
      </x:c>
      <x:c r="F16" s="6" t="str">
        <x:v>4</x:v>
      </x:c>
      <x:c r="G16" s="6" t="str">
        <x:v>2</x:v>
      </x:c>
      <x:c r="H16" s="6" t="str">
        <x:v>2</x:v>
      </x:c>
      <x:c r="I16" s="6" t="str">
        <x:v>1-2</x:v>
      </x:c>
      <x:c r="J16" s="6" t="str">
        <x:v>None scheduled</x:v>
      </x:c>
      <x:c r="K16" s="6" t="str">
        <x:v>24 VDC control</x:v>
      </x:c>
      <x:c r="L16" s="6" t="str">
        <x:v>Length, conductor size, installation method and final cable family open</x:v>
      </x:c>
    </x:row>
    <x:row r="17" ht="27" customHeight="1">
      <x:c r="A17" s="6" t="str">
        <x:v>C016</x:v>
      </x:c>
      <x:c r="B17" s="6" t="str">
        <x:v>=FC01+CP01 panel terminals</x:v>
      </x:c>
      <x:c r="C17" s="6" t="str">
        <x:v>-YV103</x:v>
      </x:c>
      <x:c r="D17" s="6" t="str">
        <x:v>=FC01+FLD-YV103</x:v>
      </x:c>
      <x:c r="E17" s="6" t="str">
        <x:v>Industrial control</x:v>
      </x:c>
      <x:c r="F17" s="6" t="str">
        <x:v>4</x:v>
      </x:c>
      <x:c r="G17" s="6" t="str">
        <x:v>2</x:v>
      </x:c>
      <x:c r="H17" s="6" t="str">
        <x:v>2</x:v>
      </x:c>
      <x:c r="I17" s="6" t="str">
        <x:v>1-2</x:v>
      </x:c>
      <x:c r="J17" s="6" t="str">
        <x:v>None scheduled</x:v>
      </x:c>
      <x:c r="K17" s="6" t="str">
        <x:v>24 VDC control</x:v>
      </x:c>
      <x:c r="L17" s="6" t="str">
        <x:v>Length, conductor size, installation method and final cable family open</x:v>
      </x:c>
    </x:row>
    <x:row r="18" ht="27" customHeight="1">
      <x:c r="A18" s="6" t="str">
        <x:v>C017</x:v>
      </x:c>
      <x:c r="B18" s="6" t="str">
        <x:v>=FC01+CP01 panel terminals</x:v>
      </x:c>
      <x:c r="C18" s="6" t="str">
        <x:v>-YV100</x:v>
      </x:c>
      <x:c r="D18" s="6" t="str">
        <x:v>=FC01+FLD-YV100</x:v>
      </x:c>
      <x:c r="E18" s="6" t="str">
        <x:v>Industrial control</x:v>
      </x:c>
      <x:c r="F18" s="6" t="str">
        <x:v>8</x:v>
      </x:c>
      <x:c r="G18" s="6" t="str">
        <x:v>4</x:v>
      </x:c>
      <x:c r="H18" s="6" t="str">
        <x:v>4</x:v>
      </x:c>
      <x:c r="I18" s="6" t="str">
        <x:v>1-4</x:v>
      </x:c>
      <x:c r="J18" s="6" t="str">
        <x:v>None scheduled</x:v>
      </x:c>
      <x:c r="K18" s="6" t="str">
        <x:v>24 VDC control</x:v>
      </x:c>
      <x:c r="L18" s="6" t="str">
        <x:v>Length, conductor size, installation method and final cable family open</x:v>
      </x:c>
    </x:row>
    <x:row r="19" ht="27" customHeight="1">
      <x:c r="A19" s="6" t="str">
        <x:v>C018</x:v>
      </x:c>
      <x:c r="B19" s="6" t="str">
        <x:v>=FC01+CP01 panel terminals</x:v>
      </x:c>
      <x:c r="C19" s="6" t="str">
        <x:v>-YV101</x:v>
      </x:c>
      <x:c r="D19" s="6" t="str">
        <x:v>=FC01+FLD-YV101</x:v>
      </x:c>
      <x:c r="E19" s="6" t="str">
        <x:v>Industrial control</x:v>
      </x:c>
      <x:c r="F19" s="6" t="str">
        <x:v>8</x:v>
      </x:c>
      <x:c r="G19" s="6" t="str">
        <x:v>4</x:v>
      </x:c>
      <x:c r="H19" s="6" t="str">
        <x:v>4</x:v>
      </x:c>
      <x:c r="I19" s="6" t="str">
        <x:v>1-4</x:v>
      </x:c>
      <x:c r="J19" s="6" t="str">
        <x:v>None scheduled</x:v>
      </x:c>
      <x:c r="K19" s="6" t="str">
        <x:v>24 VDC control</x:v>
      </x:c>
      <x:c r="L19" s="6" t="str">
        <x:v>Length, conductor size, installation method and final cable family open</x:v>
      </x:c>
    </x:row>
    <x:row r="20" ht="27" customHeight="1">
      <x:c r="A20" s="6" t="str">
        <x:v>C019</x:v>
      </x:c>
      <x:c r="B20" s="6" t="str">
        <x:v>=FC01+CP01 panel terminals</x:v>
      </x:c>
      <x:c r="C20" s="6" t="str">
        <x:v>-H101</x:v>
      </x:c>
      <x:c r="D20" s="6" t="str">
        <x:v>=FC01+FLD-H101</x:v>
      </x:c>
      <x:c r="E20" s="6" t="str">
        <x:v>Industrial control</x:v>
      </x:c>
      <x:c r="F20" s="6" t="str">
        <x:v>12</x:v>
      </x:c>
      <x:c r="G20" s="6" t="str">
        <x:v>8</x:v>
      </x:c>
      <x:c r="H20" s="6" t="str">
        <x:v>4</x:v>
      </x:c>
      <x:c r="I20" s="6" t="str">
        <x:v>1-8</x:v>
      </x:c>
      <x:c r="J20" s="6" t="str">
        <x:v>None scheduled</x:v>
      </x:c>
      <x:c r="K20" s="6" t="str">
        <x:v>24 VDC control</x:v>
      </x:c>
      <x:c r="L20" s="6" t="str">
        <x:v>Length, conductor size, installation method and final cable family open</x:v>
      </x:c>
    </x:row>
    <x:row r="21" ht="27" customHeight="1">
      <x:c r="A21" s="6" t="str">
        <x:v>C020</x:v>
      </x:c>
      <x:c r="B21" s="6" t="str">
        <x:v>=FC01+CP01 panel terminals</x:v>
      </x:c>
      <x:c r="C21" s="6" t="str">
        <x:v>-LT200</x:v>
      </x:c>
      <x:c r="D21" s="6" t="str">
        <x:v>=FC01+FLD-LT200</x:v>
      </x:c>
      <x:c r="E21" s="6" t="str">
        <x:v>Industrial control</x:v>
      </x:c>
      <x:c r="F21" s="6" t="str">
        <x:v>4</x:v>
      </x:c>
      <x:c r="G21" s="6" t="str">
        <x:v>2</x:v>
      </x:c>
      <x:c r="H21" s="6" t="str">
        <x:v>2</x:v>
      </x:c>
      <x:c r="I21" s="6" t="str">
        <x:v>1-2</x:v>
      </x:c>
      <x:c r="J21" s="6" t="str">
        <x:v>None scheduled</x:v>
      </x:c>
      <x:c r="K21" s="6" t="str">
        <x:v>24 VDC control</x:v>
      </x:c>
      <x:c r="L21" s="6" t="str">
        <x:v>Length, conductor size, installation method and final cable family open</x:v>
      </x:c>
    </x:row>
    <x:row r="22" ht="27" customHeight="1">
      <x:c r="A22" s="6" t="str">
        <x:v>C021</x:v>
      </x:c>
      <x:c r="B22" s="6" t="str">
        <x:v>=FC01+CP01 panel terminals</x:v>
      </x:c>
      <x:c r="C22" s="6" t="str">
        <x:v>-FT100</x:v>
      </x:c>
      <x:c r="D22" s="6" t="str">
        <x:v>=FC01+FLD-FT100</x:v>
      </x:c>
      <x:c r="E22" s="6" t="str">
        <x:v>Shielded instrumentation</x:v>
      </x:c>
      <x:c r="F22" s="6" t="str">
        <x:v>8</x:v>
      </x:c>
      <x:c r="G22" s="6" t="str">
        <x:v>5</x:v>
      </x:c>
      <x:c r="H22" s="6" t="str">
        <x:v>3</x:v>
      </x:c>
      <x:c r="I22" s="6" t="str">
        <x:v>1-5</x:v>
      </x:c>
      <x:c r="J22" s="6" t="str">
        <x:v>Separate overall shield/drain to SC100; not counted as an insulated core</x:v>
      </x:c>
      <x:c r="K22" s="6" t="str">
        <x:v>Analog/instrument</x:v>
      </x:c>
      <x:c r="L22" s="6" t="str">
        <x:v>Length, conductor size, installation method and final cable family open</x:v>
      </x:c>
    </x:row>
    <x:row r="23" ht="27" customHeight="1">
      <x:c r="A23" s="6" t="str">
        <x:v>C022</x:v>
      </x:c>
      <x:c r="B23" s="6" t="str">
        <x:v>=FC01+CP01 panel terminals</x:v>
      </x:c>
      <x:c r="C23" s="6" t="str">
        <x:v>-FT101</x:v>
      </x:c>
      <x:c r="D23" s="6" t="str">
        <x:v>=FC01+FLD-FT101</x:v>
      </x:c>
      <x:c r="E23" s="6" t="str">
        <x:v>Shielded instrumentation</x:v>
      </x:c>
      <x:c r="F23" s="6" t="str">
        <x:v>8</x:v>
      </x:c>
      <x:c r="G23" s="6" t="str">
        <x:v>5</x:v>
      </x:c>
      <x:c r="H23" s="6" t="str">
        <x:v>3</x:v>
      </x:c>
      <x:c r="I23" s="6" t="str">
        <x:v>1-5</x:v>
      </x:c>
      <x:c r="J23" s="6" t="str">
        <x:v>Separate overall shield/drain to SC100; not counted as an insulated core</x:v>
      </x:c>
      <x:c r="K23" s="6" t="str">
        <x:v>Analog/instrument</x:v>
      </x:c>
      <x:c r="L23" s="6" t="str">
        <x:v>Length, conductor size, installation method and final cable family open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0.630000114440918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19.3799991607666" hidden="0" customWidth="1"/>
    <x:col min="14" max="14" width="19.3799991607666" hidden="0" customWidth="1"/>
    <x:col min="15" max="15" width="22.5" hidden="0" customWidth="1"/>
    <x:col min="16" max="16" width="19.3799991607666" hidden="0" customWidth="1"/>
    <x:col min="17" max="17" width="19.3799991607666" hidden="0" customWidth="1"/>
    <x:col min="18" max="18" width="19.3799991607666" hidden="0" customWidth="1"/>
    <x:col min="19" max="19" width="19.3799991607666" hidden="0" customWidth="1"/>
    <x:col min="20" max="20" width="19.3799991607666" hidden="0" customWidth="1"/>
    <x:col min="21" max="21" width="19.3799991607666" hidden="0" customWidth="1"/>
    <x:col min="22" max="22" width="22.5" hidden="0" customWidth="1"/>
  </x:cols>
  <x:sheetData>
    <x:row r="1" ht="31.5" customHeight="1">
      <x:c r="A1" s="12" t="str">
        <x:v>signal</x:v>
      </x:c>
      <x:c r="B1" s="12" t="str">
        <x:v>function</x:v>
      </x:c>
      <x:c r="C1" s="12" t="str">
        <x:v>field_device</x:v>
      </x:c>
      <x:c r="D1" s="12" t="str">
        <x:v>field_designation</x:v>
      </x:c>
      <x:c r="E1" s="12" t="str">
        <x:v>field_pin</x:v>
      </x:c>
      <x:c r="F1" s="12" t="str">
        <x:v>cable_id</x:v>
      </x:c>
      <x:c r="G1" s="12" t="str">
        <x:v>cable_core</x:v>
      </x:c>
      <x:c r="H1" s="12" t="str">
        <x:v>field_terminal</x:v>
      </x:c>
      <x:c r="I1" s="12" t="str">
        <x:v>panel_terminal</x:v>
      </x:c>
      <x:c r="J1" s="12" t="str">
        <x:v>internal_wire</x:v>
      </x:c>
      <x:c r="K1" s="12" t="str">
        <x:v>interposing_device</x:v>
      </x:c>
      <x:c r="L1" s="12" t="str">
        <x:v>module</x:v>
      </x:c>
      <x:c r="M1" s="12" t="str">
        <x:v>module_designation</x:v>
      </x:c>
      <x:c r="N1" s="12" t="str">
        <x:v>module_terminal</x:v>
      </x:c>
      <x:c r="O1" s="12" t="str">
        <x:v>plc_address</x:v>
      </x:c>
      <x:c r="P1" s="12" t="str">
        <x:v>potential</x:v>
      </x:c>
      <x:c r="Q1" s="12" t="str">
        <x:v>return_common</x:v>
      </x:c>
      <x:c r="R1" s="12" t="str">
        <x:v>shield_termination</x:v>
      </x:c>
      <x:c r="S1" s="12" t="str">
        <x:v>conductor_mm2</x:v>
      </x:c>
      <x:c r="T1" s="12" t="str">
        <x:v>color</x:v>
      </x:c>
      <x:c r="U1" s="12" t="str">
        <x:v>destination</x:v>
      </x:c>
      <x:c r="V1" s="12" t="str">
        <x:v>status</x:v>
      </x:c>
    </x:row>
    <x:row r="2" ht="27" customHeight="1">
      <x:c r="A2" s="6" t="str">
        <x:v>SAFETY_OK</x:v>
      </x:c>
      <x:c r="B2" s="6" t="str">
        <x:v>Safety-interface monitor contact supply</x:v>
      </x:c>
      <x:c r="C2" s="6" t="str">
        <x:v>-K100</x:v>
      </x:c>
      <x:c r="D2" s="6" t="str">
        <x:v>=FC01+CP01-K100</x:v>
      </x:c>
      <x:c r="E2" s="6" t="str">
        <x:v>13</x:v>
      </x:c>
      <x:c r="F2" s="6" t="str"/>
      <x:c r="G2" s="6" t="str"/>
      <x:c r="H2" s="6" t="str">
        <x:v>-K100:13</x:v>
      </x:c>
      <x:c r="I2" s="6" t="str"/>
      <x:c r="J2" s="6" t="str">
        <x:v>W0001</x:v>
      </x:c>
      <x:c r="K2" s="6" t="str"/>
      <x:c r="L2" s="6" t="str">
        <x:v>-A102</x:v>
      </x:c>
      <x:c r="M2" s="6" t="str">
        <x:v>=FC01+CP01-A102</x:v>
      </x:c>
      <x:c r="N2" s="6" t="str">
        <x:v>0</x:v>
      </x:c>
      <x:c r="O2" s="6" t="str">
        <x:v>I0.0</x:v>
      </x:c>
      <x:c r="P2" s="6" t="str">
        <x:v>+24VDC fused</x:v>
      </x:c>
      <x:c r="Q2" s="6" t="str"/>
      <x:c r="R2" s="6" t="str"/>
      <x:c r="S2" s="6" t="str"/>
      <x:c r="T2" s="6" t="str">
        <x:v>RD</x:v>
      </x:c>
      <x:c r="U2" s="6" t="str">
        <x:v>=FC01+CP01-X24:+24V</x:v>
      </x:c>
      <x:c r="V2" s="6" t="str">
        <x:v>Controlled Rev-D topology; conductor size/terminal family and native QET continuity verification remain open</x:v>
      </x:c>
    </x:row>
    <x:row r="3" ht="27" customHeight="1">
      <x:c r="A3" s="6" t="str">
        <x:v>SAFETY_OK</x:v>
      </x:c>
      <x:c r="B3" s="6" t="str">
        <x:v>Safety-interface monitor contact signal</x:v>
      </x:c>
      <x:c r="C3" s="6" t="str">
        <x:v>-K100</x:v>
      </x:c>
      <x:c r="D3" s="6" t="str">
        <x:v>=FC01+CP01-K100</x:v>
      </x:c>
      <x:c r="E3" s="6" t="str">
        <x:v>14</x:v>
      </x:c>
      <x:c r="F3" s="6" t="str"/>
      <x:c r="G3" s="6" t="str"/>
      <x:c r="H3" s="6" t="str">
        <x:v>-K100:14</x:v>
      </x:c>
      <x:c r="I3" s="6" t="str"/>
      <x:c r="J3" s="6" t="str">
        <x:v>W0002</x:v>
      </x:c>
      <x:c r="K3" s="6" t="str"/>
      <x:c r="L3" s="6" t="str">
        <x:v>-A102</x:v>
      </x:c>
      <x:c r="M3" s="6" t="str">
        <x:v>=FC01+CP01-A102</x:v>
      </x:c>
      <x:c r="N3" s="6" t="str">
        <x:v>0</x:v>
      </x:c>
      <x:c r="O3" s="6" t="str">
        <x:v>I0.0</x:v>
      </x:c>
      <x:c r="P3" s="6" t="str">
        <x:v>24 VDC switched</x:v>
      </x:c>
      <x:c r="Q3" s="6" t="str"/>
      <x:c r="R3" s="6" t="str"/>
      <x:c r="S3" s="6" t="str"/>
      <x:c r="T3" s="6" t="str">
        <x:v>BK</x:v>
      </x:c>
      <x:c r="U3" s="6" t="str">
        <x:v>=FC01+CP01-A102:0</x:v>
      </x:c>
      <x:c r="V3" s="6" t="str">
        <x:v>Controlled Rev-D topology; conductor size/terminal family and native QET continuity verification remain open</x:v>
      </x:c>
    </x:row>
    <x:row r="4" ht="27" customHeight="1">
      <x:c r="A4" s="6" t="str">
        <x:v>GUARD_CLOSED_STATUS</x:v>
      </x:c>
      <x:c r="B4" s="6" t="str">
        <x:v>Guard-monitor contact signal</x:v>
      </x:c>
      <x:c r="C4" s="6" t="str">
        <x:v>-S102</x:v>
      </x:c>
      <x:c r="D4" s="6" t="str">
        <x:v>=FC01+FLD-S102</x:v>
      </x:c>
      <x:c r="E4" s="6" t="str">
        <x:v>2</x:v>
      </x:c>
      <x:c r="F4" s="6" t="str">
        <x:v>C001</x:v>
      </x:c>
      <x:c r="G4" s="6" t="str">
        <x:v>1</x:v>
      </x:c>
      <x:c r="H4" s="6" t="str">
        <x:v>-S102:2</x:v>
      </x:c>
      <x:c r="I4" s="6" t="str">
        <x:v>X100:1</x:v>
      </x:c>
      <x:c r="J4" s="6" t="str">
        <x:v>W0003</x:v>
      </x:c>
      <x:c r="K4" s="6" t="str"/>
      <x:c r="L4" s="6" t="str">
        <x:v>-A102</x:v>
      </x:c>
      <x:c r="M4" s="6" t="str">
        <x:v>=FC01+CP01-A102</x:v>
      </x:c>
      <x:c r="N4" s="6" t="str">
        <x:v>1</x:v>
      </x:c>
      <x:c r="O4" s="6" t="str">
        <x:v>I0.1</x:v>
      </x:c>
      <x:c r="P4" s="6" t="str">
        <x:v>24 VDC switched</x:v>
      </x:c>
      <x:c r="Q4" s="6" t="str"/>
      <x:c r="R4" s="6" t="str"/>
      <x:c r="S4" s="6" t="str"/>
      <x:c r="T4" s="6" t="str">
        <x:v>BK</x:v>
      </x:c>
      <x:c r="U4" s="6" t="str">
        <x:v>=FC01+CP01-A102:1</x:v>
      </x:c>
      <x:c r="V4" s="6" t="str">
        <x:v>Controlled Rev-D topology; conductor size/terminal family and native QET continuity verification remain open</x:v>
      </x:c>
    </x:row>
    <x:row r="5" ht="27" customHeight="1">
      <x:c r="A5" s="6" t="str">
        <x:v>GUARD_CLOSED_STATUS</x:v>
      </x:c>
      <x:c r="B5" s="6" t="str">
        <x:v>Guard-monitor contact supply</x:v>
      </x:c>
      <x:c r="C5" s="6" t="str">
        <x:v>-S102</x:v>
      </x:c>
      <x:c r="D5" s="6" t="str">
        <x:v>=FC01+FLD-S102</x:v>
      </x:c>
      <x:c r="E5" s="6" t="str">
        <x:v>1</x:v>
      </x:c>
      <x:c r="F5" s="6" t="str">
        <x:v>C001</x:v>
      </x:c>
      <x:c r="G5" s="6" t="str">
        <x:v>2</x:v>
      </x:c>
      <x:c r="H5" s="6" t="str">
        <x:v>-S102:1</x:v>
      </x:c>
      <x:c r="I5" s="6" t="str">
        <x:v>X100:2</x:v>
      </x:c>
      <x:c r="J5" s="6" t="str">
        <x:v>W0004</x:v>
      </x:c>
      <x:c r="K5" s="6" t="str"/>
      <x:c r="L5" s="6" t="str">
        <x:v>-A102</x:v>
      </x:c>
      <x:c r="M5" s="6" t="str">
        <x:v>=FC01+CP01-A102</x:v>
      </x:c>
      <x:c r="N5" s="6" t="str">
        <x:v>1</x:v>
      </x:c>
      <x:c r="O5" s="6" t="str">
        <x:v>I0.1</x:v>
      </x:c>
      <x:c r="P5" s="6" t="str">
        <x:v>+24VDC fused</x:v>
      </x:c>
      <x:c r="Q5" s="6" t="str"/>
      <x:c r="R5" s="6" t="str"/>
      <x:c r="S5" s="6" t="str"/>
      <x:c r="T5" s="6" t="str">
        <x:v>RD</x:v>
      </x:c>
      <x:c r="U5" s="6" t="str">
        <x:v>=FC01+CP01-X24:+24V</x:v>
      </x:c>
      <x:c r="V5" s="6" t="str">
        <x:v>Controlled Rev-D topology; conductor size/terminal family and native QET continuity verification remain open</x:v>
      </x:c>
    </x:row>
    <x:row r="6" ht="27" customHeight="1">
      <x:c r="A6" s="6" t="str">
        <x:v>AIR_PRESSURE_OK</x:v>
      </x:c>
      <x:c r="B6" s="6" t="str">
        <x:v>PNP signal</x:v>
      </x:c>
      <x:c r="C6" s="6" t="str">
        <x:v>-B100</x:v>
      </x:c>
      <x:c r="D6" s="6" t="str">
        <x:v>=FC01+FLD-B100</x:v>
      </x:c>
      <x:c r="E6" s="6" t="str">
        <x:v>4</x:v>
      </x:c>
      <x:c r="F6" s="6" t="str">
        <x:v>C002</x:v>
      </x:c>
      <x:c r="G6" s="6" t="str">
        <x:v>1</x:v>
      </x:c>
      <x:c r="H6" s="6" t="str">
        <x:v>-B100:4</x:v>
      </x:c>
      <x:c r="I6" s="6" t="str">
        <x:v>X100:3</x:v>
      </x:c>
      <x:c r="J6" s="6" t="str">
        <x:v>W0005</x:v>
      </x:c>
      <x:c r="K6" s="6" t="str"/>
      <x:c r="L6" s="6" t="str">
        <x:v>-A102</x:v>
      </x:c>
      <x:c r="M6" s="6" t="str">
        <x:v>=FC01+CP01-A102</x:v>
      </x:c>
      <x:c r="N6" s="6" t="str">
        <x:v>2</x:v>
      </x:c>
      <x:c r="O6" s="6" t="str">
        <x:v>I0.2</x:v>
      </x:c>
      <x:c r="P6" s="6" t="str">
        <x:v>24 VDC switched</x:v>
      </x:c>
      <x:c r="Q6" s="6" t="str"/>
      <x:c r="R6" s="6" t="str"/>
      <x:c r="S6" s="6" t="str"/>
      <x:c r="T6" s="6" t="str">
        <x:v>BK</x:v>
      </x:c>
      <x:c r="U6" s="6" t="str">
        <x:v>=FC01+CP01-A102:2</x:v>
      </x:c>
      <x:c r="V6" s="6" t="str">
        <x:v>Controlled Rev-D topology; conductor size/terminal family and native QET continuity verification remain open</x:v>
      </x:c>
    </x:row>
    <x:row r="7" ht="27" customHeight="1">
      <x:c r="A7" s="6" t="str">
        <x:v>AIR_PRESSURE_OK</x:v>
      </x:c>
      <x:c r="B7" s="6" t="str">
        <x:v>Sensor/interface supply</x:v>
      </x:c>
      <x:c r="C7" s="6" t="str">
        <x:v>-B100</x:v>
      </x:c>
      <x:c r="D7" s="6" t="str">
        <x:v>=FC01+FLD-B100</x:v>
      </x:c>
      <x:c r="E7" s="6" t="str">
        <x:v>1</x:v>
      </x:c>
      <x:c r="F7" s="6" t="str">
        <x:v>C002</x:v>
      </x:c>
      <x:c r="G7" s="6" t="str">
        <x:v>2</x:v>
      </x:c>
      <x:c r="H7" s="6" t="str">
        <x:v>-B100:1</x:v>
      </x:c>
      <x:c r="I7" s="6" t="str">
        <x:v>X100:4</x:v>
      </x:c>
      <x:c r="J7" s="6" t="str">
        <x:v>W0006</x:v>
      </x:c>
      <x:c r="K7" s="6" t="str"/>
      <x:c r="L7" s="6" t="str">
        <x:v>-A102</x:v>
      </x:c>
      <x:c r="M7" s="6" t="str">
        <x:v>=FC01+CP01-A102</x:v>
      </x:c>
      <x:c r="N7" s="6" t="str">
        <x:v>2</x:v>
      </x:c>
      <x:c r="O7" s="6" t="str">
        <x:v>I0.2</x:v>
      </x:c>
      <x:c r="P7" s="6" t="str">
        <x:v>+24VDC fused</x:v>
      </x:c>
      <x:c r="Q7" s="6" t="str"/>
      <x:c r="R7" s="6" t="str"/>
      <x:c r="S7" s="6" t="str"/>
      <x:c r="T7" s="6" t="str">
        <x:v>BN</x:v>
      </x:c>
      <x:c r="U7" s="6" t="str">
        <x:v>=FC01+CP01-X24:+24V</x:v>
      </x:c>
      <x:c r="V7" s="6" t="str">
        <x:v>Controlled Rev-D topology; conductor size/terminal family and native QET continuity verification remain open</x:v>
      </x:c>
    </x:row>
    <x:row r="8" ht="27" customHeight="1">
      <x:c r="A8" s="6" t="str">
        <x:v>AIR_PRESSURE_OK</x:v>
      </x:c>
      <x:c r="B8" s="6" t="str">
        <x:v>Sensor/interface return</x:v>
      </x:c>
      <x:c r="C8" s="6" t="str">
        <x:v>-B100</x:v>
      </x:c>
      <x:c r="D8" s="6" t="str">
        <x:v>=FC01+FLD-B100</x:v>
      </x:c>
      <x:c r="E8" s="6" t="str">
        <x:v>3</x:v>
      </x:c>
      <x:c r="F8" s="6" t="str">
        <x:v>C002</x:v>
      </x:c>
      <x:c r="G8" s="6" t="str">
        <x:v>3</x:v>
      </x:c>
      <x:c r="H8" s="6" t="str">
        <x:v>-B100:3</x:v>
      </x:c>
      <x:c r="I8" s="6" t="str">
        <x:v>X100:5</x:v>
      </x:c>
      <x:c r="J8" s="6" t="str">
        <x:v>W0007</x:v>
      </x:c>
      <x:c r="K8" s="6" t="str"/>
      <x:c r="L8" s="6" t="str">
        <x:v>-A102</x:v>
      </x:c>
      <x:c r="M8" s="6" t="str">
        <x:v>=FC01+CP01-A102</x:v>
      </x:c>
      <x:c r="N8" s="6" t="str">
        <x:v>2</x:v>
      </x:c>
      <x:c r="O8" s="6" t="str">
        <x:v>I0.2</x:v>
      </x:c>
      <x:c r="P8" s="6" t="str">
        <x:v>0V</x:v>
      </x:c>
      <x:c r="Q8" s="6" t="str">
        <x:v>X0:0V</x:v>
      </x:c>
      <x:c r="R8" s="6" t="str"/>
      <x:c r="S8" s="6" t="str"/>
      <x:c r="T8" s="6" t="str">
        <x:v>BU</x:v>
      </x:c>
      <x:c r="U8" s="6" t="str">
        <x:v>=FC01+CP01-X0:0V</x:v>
      </x:c>
      <x:c r="V8" s="6" t="str">
        <x:v>Controlled Rev-D topology; conductor size/terminal family and native QET continuity verification remain open</x:v>
      </x:c>
    </x:row>
    <x:row r="9" ht="27" customHeight="1">
      <x:c r="A9" s="6" t="str">
        <x:v>PRODUCT_SUPPLY_OK</x:v>
      </x:c>
      <x:c r="B9" s="6" t="str">
        <x:v>PNP signal</x:v>
      </x:c>
      <x:c r="C9" s="6" t="str">
        <x:v>-B101</x:v>
      </x:c>
      <x:c r="D9" s="6" t="str">
        <x:v>=FC01+FLD-B101</x:v>
      </x:c>
      <x:c r="E9" s="6" t="str">
        <x:v>4</x:v>
      </x:c>
      <x:c r="F9" s="6" t="str">
        <x:v>C003</x:v>
      </x:c>
      <x:c r="G9" s="6" t="str">
        <x:v>1</x:v>
      </x:c>
      <x:c r="H9" s="6" t="str">
        <x:v>-B101:4</x:v>
      </x:c>
      <x:c r="I9" s="6" t="str">
        <x:v>X100:6</x:v>
      </x:c>
      <x:c r="J9" s="6" t="str">
        <x:v>W0008</x:v>
      </x:c>
      <x:c r="K9" s="6" t="str"/>
      <x:c r="L9" s="6" t="str">
        <x:v>-A102</x:v>
      </x:c>
      <x:c r="M9" s="6" t="str">
        <x:v>=FC01+CP01-A102</x:v>
      </x:c>
      <x:c r="N9" s="6" t="str">
        <x:v>3</x:v>
      </x:c>
      <x:c r="O9" s="6" t="str">
        <x:v>I0.3</x:v>
      </x:c>
      <x:c r="P9" s="6" t="str">
        <x:v>24 VDC switched</x:v>
      </x:c>
      <x:c r="Q9" s="6" t="str"/>
      <x:c r="R9" s="6" t="str"/>
      <x:c r="S9" s="6" t="str"/>
      <x:c r="T9" s="6" t="str">
        <x:v>BK</x:v>
      </x:c>
      <x:c r="U9" s="6" t="str">
        <x:v>=FC01+CP01-A102:3</x:v>
      </x:c>
      <x:c r="V9" s="6" t="str">
        <x:v>Controlled Rev-D topology; conductor size/terminal family and native QET continuity verification remain open</x:v>
      </x:c>
    </x:row>
    <x:row r="10" ht="27" customHeight="1">
      <x:c r="A10" s="6" t="str">
        <x:v>PRODUCT_SUPPLY_OK</x:v>
      </x:c>
      <x:c r="B10" s="6" t="str">
        <x:v>Sensor/interface supply</x:v>
      </x:c>
      <x:c r="C10" s="6" t="str">
        <x:v>-B101</x:v>
      </x:c>
      <x:c r="D10" s="6" t="str">
        <x:v>=FC01+FLD-B101</x:v>
      </x:c>
      <x:c r="E10" s="6" t="str">
        <x:v>1</x:v>
      </x:c>
      <x:c r="F10" s="6" t="str">
        <x:v>C003</x:v>
      </x:c>
      <x:c r="G10" s="6" t="str">
        <x:v>2</x:v>
      </x:c>
      <x:c r="H10" s="6" t="str">
        <x:v>-B101:1</x:v>
      </x:c>
      <x:c r="I10" s="6" t="str">
        <x:v>X100:7</x:v>
      </x:c>
      <x:c r="J10" s="6" t="str">
        <x:v>W0009</x:v>
      </x:c>
      <x:c r="K10" s="6" t="str"/>
      <x:c r="L10" s="6" t="str">
        <x:v>-A102</x:v>
      </x:c>
      <x:c r="M10" s="6" t="str">
        <x:v>=FC01+CP01-A102</x:v>
      </x:c>
      <x:c r="N10" s="6" t="str">
        <x:v>3</x:v>
      </x:c>
      <x:c r="O10" s="6" t="str">
        <x:v>I0.3</x:v>
      </x:c>
      <x:c r="P10" s="6" t="str">
        <x:v>+24VDC fused</x:v>
      </x:c>
      <x:c r="Q10" s="6" t="str"/>
      <x:c r="R10" s="6" t="str"/>
      <x:c r="S10" s="6" t="str"/>
      <x:c r="T10" s="6" t="str">
        <x:v>BN</x:v>
      </x:c>
      <x:c r="U10" s="6" t="str">
        <x:v>=FC01+CP01-X24:+24V</x:v>
      </x:c>
      <x:c r="V10" s="6" t="str">
        <x:v>Controlled Rev-D topology; conductor size/terminal family and native QET continuity verification remain open</x:v>
      </x:c>
    </x:row>
    <x:row r="11" ht="27" customHeight="1">
      <x:c r="A11" s="6" t="str">
        <x:v>PRODUCT_SUPPLY_OK</x:v>
      </x:c>
      <x:c r="B11" s="6" t="str">
        <x:v>Sensor/interface return</x:v>
      </x:c>
      <x:c r="C11" s="6" t="str">
        <x:v>-B101</x:v>
      </x:c>
      <x:c r="D11" s="6" t="str">
        <x:v>=FC01+FLD-B101</x:v>
      </x:c>
      <x:c r="E11" s="6" t="str">
        <x:v>3</x:v>
      </x:c>
      <x:c r="F11" s="6" t="str">
        <x:v>C003</x:v>
      </x:c>
      <x:c r="G11" s="6" t="str">
        <x:v>3</x:v>
      </x:c>
      <x:c r="H11" s="6" t="str">
        <x:v>-B101:3</x:v>
      </x:c>
      <x:c r="I11" s="6" t="str">
        <x:v>X100:8</x:v>
      </x:c>
      <x:c r="J11" s="6" t="str">
        <x:v>W0010</x:v>
      </x:c>
      <x:c r="K11" s="6" t="str"/>
      <x:c r="L11" s="6" t="str">
        <x:v>-A102</x:v>
      </x:c>
      <x:c r="M11" s="6" t="str">
        <x:v>=FC01+CP01-A102</x:v>
      </x:c>
      <x:c r="N11" s="6" t="str">
        <x:v>3</x:v>
      </x:c>
      <x:c r="O11" s="6" t="str">
        <x:v>I0.3</x:v>
      </x:c>
      <x:c r="P11" s="6" t="str">
        <x:v>0V</x:v>
      </x:c>
      <x:c r="Q11" s="6" t="str">
        <x:v>X0:0V</x:v>
      </x:c>
      <x:c r="R11" s="6" t="str"/>
      <x:c r="S11" s="6" t="str"/>
      <x:c r="T11" s="6" t="str">
        <x:v>BU</x:v>
      </x:c>
      <x:c r="U11" s="6" t="str">
        <x:v>=FC01+CP01-X0:0V</x:v>
      </x:c>
      <x:c r="V11" s="6" t="str">
        <x:v>Controlled Rev-D topology; conductor size/terminal family and native QET continuity verification remain open</x:v>
      </x:c>
    </x:row>
    <x:row r="12" ht="27" customHeight="1">
      <x:c r="A12" s="6" t="str">
        <x:v>BOTTLE_AT_NEST_1</x:v>
      </x:c>
      <x:c r="B12" s="6" t="str">
        <x:v>PNP signal</x:v>
      </x:c>
      <x:c r="C12" s="6" t="str">
        <x:v>-B110</x:v>
      </x:c>
      <x:c r="D12" s="6" t="str">
        <x:v>=FC01+FLD-B110</x:v>
      </x:c>
      <x:c r="E12" s="6" t="str">
        <x:v>4</x:v>
      </x:c>
      <x:c r="F12" s="6" t="str">
        <x:v>C004</x:v>
      </x:c>
      <x:c r="G12" s="6" t="str">
        <x:v>1</x:v>
      </x:c>
      <x:c r="H12" s="6" t="str">
        <x:v>-B110:4</x:v>
      </x:c>
      <x:c r="I12" s="6" t="str">
        <x:v>X100:9</x:v>
      </x:c>
      <x:c r="J12" s="6" t="str">
        <x:v>W0011</x:v>
      </x:c>
      <x:c r="K12" s="6" t="str"/>
      <x:c r="L12" s="6" t="str">
        <x:v>-A102</x:v>
      </x:c>
      <x:c r="M12" s="6" t="str">
        <x:v>=FC01+CP01-A102</x:v>
      </x:c>
      <x:c r="N12" s="6" t="str">
        <x:v>10</x:v>
      </x:c>
      <x:c r="O12" s="6" t="str">
        <x:v>I1.2</x:v>
      </x:c>
      <x:c r="P12" s="6" t="str">
        <x:v>24 VDC switched</x:v>
      </x:c>
      <x:c r="Q12" s="6" t="str"/>
      <x:c r="R12" s="6" t="str"/>
      <x:c r="S12" s="6" t="str"/>
      <x:c r="T12" s="6" t="str">
        <x:v>BK</x:v>
      </x:c>
      <x:c r="U12" s="6" t="str">
        <x:v>=FC01+CP01-A102:10</x:v>
      </x:c>
      <x:c r="V12" s="6" t="str">
        <x:v>Controlled Rev-D topology; conductor size/terminal family and native QET continuity verification remain open</x:v>
      </x:c>
    </x:row>
    <x:row r="13" ht="27" customHeight="1">
      <x:c r="A13" s="6" t="str">
        <x:v>BOTTLE_AT_NEST_1</x:v>
      </x:c>
      <x:c r="B13" s="6" t="str">
        <x:v>Sensor/interface supply</x:v>
      </x:c>
      <x:c r="C13" s="6" t="str">
        <x:v>-B110</x:v>
      </x:c>
      <x:c r="D13" s="6" t="str">
        <x:v>=FC01+FLD-B110</x:v>
      </x:c>
      <x:c r="E13" s="6" t="str">
        <x:v>1</x:v>
      </x:c>
      <x:c r="F13" s="6" t="str">
        <x:v>C004</x:v>
      </x:c>
      <x:c r="G13" s="6" t="str">
        <x:v>2</x:v>
      </x:c>
      <x:c r="H13" s="6" t="str">
        <x:v>-B110:1</x:v>
      </x:c>
      <x:c r="I13" s="6" t="str">
        <x:v>X100:10</x:v>
      </x:c>
      <x:c r="J13" s="6" t="str">
        <x:v>W0012</x:v>
      </x:c>
      <x:c r="K13" s="6" t="str"/>
      <x:c r="L13" s="6" t="str">
        <x:v>-A102</x:v>
      </x:c>
      <x:c r="M13" s="6" t="str">
        <x:v>=FC01+CP01-A102</x:v>
      </x:c>
      <x:c r="N13" s="6" t="str">
        <x:v>10</x:v>
      </x:c>
      <x:c r="O13" s="6" t="str">
        <x:v>I1.2</x:v>
      </x:c>
      <x:c r="P13" s="6" t="str">
        <x:v>+24VDC fused</x:v>
      </x:c>
      <x:c r="Q13" s="6" t="str"/>
      <x:c r="R13" s="6" t="str"/>
      <x:c r="S13" s="6" t="str"/>
      <x:c r="T13" s="6" t="str">
        <x:v>BN</x:v>
      </x:c>
      <x:c r="U13" s="6" t="str">
        <x:v>=FC01+CP01-X24:+24V</x:v>
      </x:c>
      <x:c r="V13" s="6" t="str">
        <x:v>Controlled Rev-D topology; conductor size/terminal family and native QET continuity verification remain open</x:v>
      </x:c>
    </x:row>
    <x:row r="14" ht="27" customHeight="1">
      <x:c r="A14" s="6" t="str">
        <x:v>BOTTLE_AT_NEST_1</x:v>
      </x:c>
      <x:c r="B14" s="6" t="str">
        <x:v>Sensor/interface return</x:v>
      </x:c>
      <x:c r="C14" s="6" t="str">
        <x:v>-B110</x:v>
      </x:c>
      <x:c r="D14" s="6" t="str">
        <x:v>=FC01+FLD-B110</x:v>
      </x:c>
      <x:c r="E14" s="6" t="str">
        <x:v>3</x:v>
      </x:c>
      <x:c r="F14" s="6" t="str">
        <x:v>C004</x:v>
      </x:c>
      <x:c r="G14" s="6" t="str">
        <x:v>3</x:v>
      </x:c>
      <x:c r="H14" s="6" t="str">
        <x:v>-B110:3</x:v>
      </x:c>
      <x:c r="I14" s="6" t="str">
        <x:v>X100:11</x:v>
      </x:c>
      <x:c r="J14" s="6" t="str">
        <x:v>W0013</x:v>
      </x:c>
      <x:c r="K14" s="6" t="str"/>
      <x:c r="L14" s="6" t="str">
        <x:v>-A102</x:v>
      </x:c>
      <x:c r="M14" s="6" t="str">
        <x:v>=FC01+CP01-A102</x:v>
      </x:c>
      <x:c r="N14" s="6" t="str">
        <x:v>10</x:v>
      </x:c>
      <x:c r="O14" s="6" t="str">
        <x:v>I1.2</x:v>
      </x:c>
      <x:c r="P14" s="6" t="str">
        <x:v>0V</x:v>
      </x:c>
      <x:c r="Q14" s="6" t="str">
        <x:v>X0:0V</x:v>
      </x:c>
      <x:c r="R14" s="6" t="str"/>
      <x:c r="S14" s="6" t="str"/>
      <x:c r="T14" s="6" t="str">
        <x:v>BU</x:v>
      </x:c>
      <x:c r="U14" s="6" t="str">
        <x:v>=FC01+CP01-X0:0V</x:v>
      </x:c>
      <x:c r="V14" s="6" t="str">
        <x:v>Controlled Rev-D topology; conductor size/terminal family and native QET continuity verification remain open</x:v>
      </x:c>
    </x:row>
    <x:row r="15" ht="27" customHeight="1">
      <x:c r="A15" s="6" t="str">
        <x:v>BOTTLE_AT_NEST_2</x:v>
      </x:c>
      <x:c r="B15" s="6" t="str">
        <x:v>PNP signal</x:v>
      </x:c>
      <x:c r="C15" s="6" t="str">
        <x:v>-B111</x:v>
      </x:c>
      <x:c r="D15" s="6" t="str">
        <x:v>=FC01+FLD-B111</x:v>
      </x:c>
      <x:c r="E15" s="6" t="str">
        <x:v>4</x:v>
      </x:c>
      <x:c r="F15" s="6" t="str">
        <x:v>C005</x:v>
      </x:c>
      <x:c r="G15" s="6" t="str">
        <x:v>1</x:v>
      </x:c>
      <x:c r="H15" s="6" t="str">
        <x:v>-B111:4</x:v>
      </x:c>
      <x:c r="I15" s="6" t="str">
        <x:v>X100:12</x:v>
      </x:c>
      <x:c r="J15" s="6" t="str">
        <x:v>W0014</x:v>
      </x:c>
      <x:c r="K15" s="6" t="str"/>
      <x:c r="L15" s="6" t="str">
        <x:v>-A102</x:v>
      </x:c>
      <x:c r="M15" s="6" t="str">
        <x:v>=FC01+CP01-A102</x:v>
      </x:c>
      <x:c r="N15" s="6" t="str">
        <x:v>11</x:v>
      </x:c>
      <x:c r="O15" s="6" t="str">
        <x:v>I1.3</x:v>
      </x:c>
      <x:c r="P15" s="6" t="str">
        <x:v>24 VDC switched</x:v>
      </x:c>
      <x:c r="Q15" s="6" t="str"/>
      <x:c r="R15" s="6" t="str"/>
      <x:c r="S15" s="6" t="str"/>
      <x:c r="T15" s="6" t="str">
        <x:v>BK</x:v>
      </x:c>
      <x:c r="U15" s="6" t="str">
        <x:v>=FC01+CP01-A102:11</x:v>
      </x:c>
      <x:c r="V15" s="6" t="str">
        <x:v>Controlled Rev-D topology; conductor size/terminal family and native QET continuity verification remain open</x:v>
      </x:c>
    </x:row>
    <x:row r="16" ht="27" customHeight="1">
      <x:c r="A16" s="6" t="str">
        <x:v>BOTTLE_AT_NEST_2</x:v>
      </x:c>
      <x:c r="B16" s="6" t="str">
        <x:v>Sensor/interface supply</x:v>
      </x:c>
      <x:c r="C16" s="6" t="str">
        <x:v>-B111</x:v>
      </x:c>
      <x:c r="D16" s="6" t="str">
        <x:v>=FC01+FLD-B111</x:v>
      </x:c>
      <x:c r="E16" s="6" t="str">
        <x:v>1</x:v>
      </x:c>
      <x:c r="F16" s="6" t="str">
        <x:v>C005</x:v>
      </x:c>
      <x:c r="G16" s="6" t="str">
        <x:v>2</x:v>
      </x:c>
      <x:c r="H16" s="6" t="str">
        <x:v>-B111:1</x:v>
      </x:c>
      <x:c r="I16" s="6" t="str">
        <x:v>X100:13</x:v>
      </x:c>
      <x:c r="J16" s="6" t="str">
        <x:v>W0015</x:v>
      </x:c>
      <x:c r="K16" s="6" t="str"/>
      <x:c r="L16" s="6" t="str">
        <x:v>-A102</x:v>
      </x:c>
      <x:c r="M16" s="6" t="str">
        <x:v>=FC01+CP01-A102</x:v>
      </x:c>
      <x:c r="N16" s="6" t="str">
        <x:v>11</x:v>
      </x:c>
      <x:c r="O16" s="6" t="str">
        <x:v>I1.3</x:v>
      </x:c>
      <x:c r="P16" s="6" t="str">
        <x:v>+24VDC fused</x:v>
      </x:c>
      <x:c r="Q16" s="6" t="str"/>
      <x:c r="R16" s="6" t="str"/>
      <x:c r="S16" s="6" t="str"/>
      <x:c r="T16" s="6" t="str">
        <x:v>BN</x:v>
      </x:c>
      <x:c r="U16" s="6" t="str">
        <x:v>=FC01+CP01-X24:+24V</x:v>
      </x:c>
      <x:c r="V16" s="6" t="str">
        <x:v>Controlled Rev-D topology; conductor size/terminal family and native QET continuity verification remain open</x:v>
      </x:c>
    </x:row>
    <x:row r="17" ht="27" customHeight="1">
      <x:c r="A17" s="6" t="str">
        <x:v>BOTTLE_AT_NEST_2</x:v>
      </x:c>
      <x:c r="B17" s="6" t="str">
        <x:v>Sensor/interface return</x:v>
      </x:c>
      <x:c r="C17" s="6" t="str">
        <x:v>-B111</x:v>
      </x:c>
      <x:c r="D17" s="6" t="str">
        <x:v>=FC01+FLD-B111</x:v>
      </x:c>
      <x:c r="E17" s="6" t="str">
        <x:v>3</x:v>
      </x:c>
      <x:c r="F17" s="6" t="str">
        <x:v>C005</x:v>
      </x:c>
      <x:c r="G17" s="6" t="str">
        <x:v>3</x:v>
      </x:c>
      <x:c r="H17" s="6" t="str">
        <x:v>-B111:3</x:v>
      </x:c>
      <x:c r="I17" s="6" t="str">
        <x:v>X100:14</x:v>
      </x:c>
      <x:c r="J17" s="6" t="str">
        <x:v>W0016</x:v>
      </x:c>
      <x:c r="K17" s="6" t="str"/>
      <x:c r="L17" s="6" t="str">
        <x:v>-A102</x:v>
      </x:c>
      <x:c r="M17" s="6" t="str">
        <x:v>=FC01+CP01-A102</x:v>
      </x:c>
      <x:c r="N17" s="6" t="str">
        <x:v>11</x:v>
      </x:c>
      <x:c r="O17" s="6" t="str">
        <x:v>I1.3</x:v>
      </x:c>
      <x:c r="P17" s="6" t="str">
        <x:v>0V</x:v>
      </x:c>
      <x:c r="Q17" s="6" t="str">
        <x:v>X0:0V</x:v>
      </x:c>
      <x:c r="R17" s="6" t="str"/>
      <x:c r="S17" s="6" t="str"/>
      <x:c r="T17" s="6" t="str">
        <x:v>BU</x:v>
      </x:c>
      <x:c r="U17" s="6" t="str">
        <x:v>=FC01+CP01-X0:0V</x:v>
      </x:c>
      <x:c r="V17" s="6" t="str">
        <x:v>Controlled Rev-D topology; conductor size/terminal family and native QET continuity verification remain open</x:v>
      </x:c>
    </x:row>
    <x:row r="18" ht="27" customHeight="1">
      <x:c r="A18" s="6" t="str">
        <x:v>GATE_OPEN_FB</x:v>
      </x:c>
      <x:c r="B18" s="6" t="str">
        <x:v>PNP signal</x:v>
      </x:c>
      <x:c r="C18" s="6" t="str">
        <x:v>-B120</x:v>
      </x:c>
      <x:c r="D18" s="6" t="str">
        <x:v>=FC01+FLD-B120</x:v>
      </x:c>
      <x:c r="E18" s="6" t="str">
        <x:v>4</x:v>
      </x:c>
      <x:c r="F18" s="6" t="str">
        <x:v>C006</x:v>
      </x:c>
      <x:c r="G18" s="6" t="str">
        <x:v>1</x:v>
      </x:c>
      <x:c r="H18" s="6" t="str">
        <x:v>-B120:4</x:v>
      </x:c>
      <x:c r="I18" s="6" t="str">
        <x:v>X100:15</x:v>
      </x:c>
      <x:c r="J18" s="6" t="str">
        <x:v>W0017</x:v>
      </x:c>
      <x:c r="K18" s="6" t="str"/>
      <x:c r="L18" s="6" t="str">
        <x:v>-A102</x:v>
      </x:c>
      <x:c r="M18" s="6" t="str">
        <x:v>=FC01+CP01-A102</x:v>
      </x:c>
      <x:c r="N18" s="6" t="str">
        <x:v>12</x:v>
      </x:c>
      <x:c r="O18" s="6" t="str">
        <x:v>I1.4</x:v>
      </x:c>
      <x:c r="P18" s="6" t="str">
        <x:v>24 VDC switched</x:v>
      </x:c>
      <x:c r="Q18" s="6" t="str"/>
      <x:c r="R18" s="6" t="str"/>
      <x:c r="S18" s="6" t="str"/>
      <x:c r="T18" s="6" t="str">
        <x:v>BK</x:v>
      </x:c>
      <x:c r="U18" s="6" t="str">
        <x:v>=FC01+CP01-A102:12</x:v>
      </x:c>
      <x:c r="V18" s="6" t="str">
        <x:v>Controlled Rev-D topology; conductor size/terminal family and native QET continuity verification remain open</x:v>
      </x:c>
    </x:row>
    <x:row r="19" ht="27" customHeight="1">
      <x:c r="A19" s="6" t="str">
        <x:v>GATE_OPEN_FB</x:v>
      </x:c>
      <x:c r="B19" s="6" t="str">
        <x:v>Sensor/interface supply</x:v>
      </x:c>
      <x:c r="C19" s="6" t="str">
        <x:v>-B120</x:v>
      </x:c>
      <x:c r="D19" s="6" t="str">
        <x:v>=FC01+FLD-B120</x:v>
      </x:c>
      <x:c r="E19" s="6" t="str">
        <x:v>1</x:v>
      </x:c>
      <x:c r="F19" s="6" t="str">
        <x:v>C006</x:v>
      </x:c>
      <x:c r="G19" s="6" t="str">
        <x:v>2</x:v>
      </x:c>
      <x:c r="H19" s="6" t="str">
        <x:v>-B120:1</x:v>
      </x:c>
      <x:c r="I19" s="6" t="str">
        <x:v>X100:16</x:v>
      </x:c>
      <x:c r="J19" s="6" t="str">
        <x:v>W0018</x:v>
      </x:c>
      <x:c r="K19" s="6" t="str"/>
      <x:c r="L19" s="6" t="str">
        <x:v>-A102</x:v>
      </x:c>
      <x:c r="M19" s="6" t="str">
        <x:v>=FC01+CP01-A102</x:v>
      </x:c>
      <x:c r="N19" s="6" t="str">
        <x:v>12</x:v>
      </x:c>
      <x:c r="O19" s="6" t="str">
        <x:v>I1.4</x:v>
      </x:c>
      <x:c r="P19" s="6" t="str">
        <x:v>+24VDC fused</x:v>
      </x:c>
      <x:c r="Q19" s="6" t="str"/>
      <x:c r="R19" s="6" t="str"/>
      <x:c r="S19" s="6" t="str"/>
      <x:c r="T19" s="6" t="str">
        <x:v>BN</x:v>
      </x:c>
      <x:c r="U19" s="6" t="str">
        <x:v>=FC01+CP01-X24:+24V</x:v>
      </x:c>
      <x:c r="V19" s="6" t="str">
        <x:v>Controlled Rev-D topology; conductor size/terminal family and native QET continuity verification remain open</x:v>
      </x:c>
    </x:row>
    <x:row r="20" ht="27" customHeight="1">
      <x:c r="A20" s="6" t="str">
        <x:v>GATE_OPEN_FB</x:v>
      </x:c>
      <x:c r="B20" s="6" t="str">
        <x:v>Sensor/interface return</x:v>
      </x:c>
      <x:c r="C20" s="6" t="str">
        <x:v>-B120</x:v>
      </x:c>
      <x:c r="D20" s="6" t="str">
        <x:v>=FC01+FLD-B120</x:v>
      </x:c>
      <x:c r="E20" s="6" t="str">
        <x:v>3</x:v>
      </x:c>
      <x:c r="F20" s="6" t="str">
        <x:v>C006</x:v>
      </x:c>
      <x:c r="G20" s="6" t="str">
        <x:v>3</x:v>
      </x:c>
      <x:c r="H20" s="6" t="str">
        <x:v>-B120:3</x:v>
      </x:c>
      <x:c r="I20" s="6" t="str">
        <x:v>X100:17</x:v>
      </x:c>
      <x:c r="J20" s="6" t="str">
        <x:v>W0019</x:v>
      </x:c>
      <x:c r="K20" s="6" t="str"/>
      <x:c r="L20" s="6" t="str">
        <x:v>-A102</x:v>
      </x:c>
      <x:c r="M20" s="6" t="str">
        <x:v>=FC01+CP01-A102</x:v>
      </x:c>
      <x:c r="N20" s="6" t="str">
        <x:v>12</x:v>
      </x:c>
      <x:c r="O20" s="6" t="str">
        <x:v>I1.4</x:v>
      </x:c>
      <x:c r="P20" s="6" t="str">
        <x:v>0V</x:v>
      </x:c>
      <x:c r="Q20" s="6" t="str">
        <x:v>X0:0V</x:v>
      </x:c>
      <x:c r="R20" s="6" t="str"/>
      <x:c r="S20" s="6" t="str"/>
      <x:c r="T20" s="6" t="str">
        <x:v>BU</x:v>
      </x:c>
      <x:c r="U20" s="6" t="str">
        <x:v>=FC01+CP01-X0:0V</x:v>
      </x:c>
      <x:c r="V20" s="6" t="str">
        <x:v>Controlled Rev-D topology; conductor size/terminal family and native QET continuity verification remain open</x:v>
      </x:c>
    </x:row>
    <x:row r="21" ht="27" customHeight="1">
      <x:c r="A21" s="6" t="str">
        <x:v>GATE_CLOSED_FB</x:v>
      </x:c>
      <x:c r="B21" s="6" t="str">
        <x:v>PNP signal</x:v>
      </x:c>
      <x:c r="C21" s="6" t="str">
        <x:v>-B121</x:v>
      </x:c>
      <x:c r="D21" s="6" t="str">
        <x:v>=FC01+FLD-B121</x:v>
      </x:c>
      <x:c r="E21" s="6" t="str">
        <x:v>4</x:v>
      </x:c>
      <x:c r="F21" s="6" t="str">
        <x:v>C007</x:v>
      </x:c>
      <x:c r="G21" s="6" t="str">
        <x:v>1</x:v>
      </x:c>
      <x:c r="H21" s="6" t="str">
        <x:v>-B121:4</x:v>
      </x:c>
      <x:c r="I21" s="6" t="str">
        <x:v>X100:18</x:v>
      </x:c>
      <x:c r="J21" s="6" t="str">
        <x:v>W0020</x:v>
      </x:c>
      <x:c r="K21" s="6" t="str"/>
      <x:c r="L21" s="6" t="str">
        <x:v>-A102</x:v>
      </x:c>
      <x:c r="M21" s="6" t="str">
        <x:v>=FC01+CP01-A102</x:v>
      </x:c>
      <x:c r="N21" s="6" t="str">
        <x:v>13</x:v>
      </x:c>
      <x:c r="O21" s="6" t="str">
        <x:v>I1.5</x:v>
      </x:c>
      <x:c r="P21" s="6" t="str">
        <x:v>24 VDC switched</x:v>
      </x:c>
      <x:c r="Q21" s="6" t="str"/>
      <x:c r="R21" s="6" t="str"/>
      <x:c r="S21" s="6" t="str"/>
      <x:c r="T21" s="6" t="str">
        <x:v>BK</x:v>
      </x:c>
      <x:c r="U21" s="6" t="str">
        <x:v>=FC01+CP01-A102:13</x:v>
      </x:c>
      <x:c r="V21" s="6" t="str">
        <x:v>Controlled Rev-D topology; conductor size/terminal family and native QET continuity verification remain open</x:v>
      </x:c>
    </x:row>
    <x:row r="22" ht="27" customHeight="1">
      <x:c r="A22" s="6" t="str">
        <x:v>GATE_CLOSED_FB</x:v>
      </x:c>
      <x:c r="B22" s="6" t="str">
        <x:v>Sensor/interface supply</x:v>
      </x:c>
      <x:c r="C22" s="6" t="str">
        <x:v>-B121</x:v>
      </x:c>
      <x:c r="D22" s="6" t="str">
        <x:v>=FC01+FLD-B121</x:v>
      </x:c>
      <x:c r="E22" s="6" t="str">
        <x:v>1</x:v>
      </x:c>
      <x:c r="F22" s="6" t="str">
        <x:v>C007</x:v>
      </x:c>
      <x:c r="G22" s="6" t="str">
        <x:v>2</x:v>
      </x:c>
      <x:c r="H22" s="6" t="str">
        <x:v>-B121:1</x:v>
      </x:c>
      <x:c r="I22" s="6" t="str">
        <x:v>X100:19</x:v>
      </x:c>
      <x:c r="J22" s="6" t="str">
        <x:v>W0021</x:v>
      </x:c>
      <x:c r="K22" s="6" t="str"/>
      <x:c r="L22" s="6" t="str">
        <x:v>-A102</x:v>
      </x:c>
      <x:c r="M22" s="6" t="str">
        <x:v>=FC01+CP01-A102</x:v>
      </x:c>
      <x:c r="N22" s="6" t="str">
        <x:v>13</x:v>
      </x:c>
      <x:c r="O22" s="6" t="str">
        <x:v>I1.5</x:v>
      </x:c>
      <x:c r="P22" s="6" t="str">
        <x:v>+24VDC fused</x:v>
      </x:c>
      <x:c r="Q22" s="6" t="str"/>
      <x:c r="R22" s="6" t="str"/>
      <x:c r="S22" s="6" t="str"/>
      <x:c r="T22" s="6" t="str">
        <x:v>BN</x:v>
      </x:c>
      <x:c r="U22" s="6" t="str">
        <x:v>=FC01+CP01-X24:+24V</x:v>
      </x:c>
      <x:c r="V22" s="6" t="str">
        <x:v>Controlled Rev-D topology; conductor size/terminal family and native QET continuity verification remain open</x:v>
      </x:c>
    </x:row>
    <x:row r="23" ht="27" customHeight="1">
      <x:c r="A23" s="6" t="str">
        <x:v>GATE_CLOSED_FB</x:v>
      </x:c>
      <x:c r="B23" s="6" t="str">
        <x:v>Sensor/interface return</x:v>
      </x:c>
      <x:c r="C23" s="6" t="str">
        <x:v>-B121</x:v>
      </x:c>
      <x:c r="D23" s="6" t="str">
        <x:v>=FC01+FLD-B121</x:v>
      </x:c>
      <x:c r="E23" s="6" t="str">
        <x:v>3</x:v>
      </x:c>
      <x:c r="F23" s="6" t="str">
        <x:v>C007</x:v>
      </x:c>
      <x:c r="G23" s="6" t="str">
        <x:v>3</x:v>
      </x:c>
      <x:c r="H23" s="6" t="str">
        <x:v>-B121:3</x:v>
      </x:c>
      <x:c r="I23" s="6" t="str">
        <x:v>X100:20</x:v>
      </x:c>
      <x:c r="J23" s="6" t="str">
        <x:v>W0022</x:v>
      </x:c>
      <x:c r="K23" s="6" t="str"/>
      <x:c r="L23" s="6" t="str">
        <x:v>-A102</x:v>
      </x:c>
      <x:c r="M23" s="6" t="str">
        <x:v>=FC01+CP01-A102</x:v>
      </x:c>
      <x:c r="N23" s="6" t="str">
        <x:v>13</x:v>
      </x:c>
      <x:c r="O23" s="6" t="str">
        <x:v>I1.5</x:v>
      </x:c>
      <x:c r="P23" s="6" t="str">
        <x:v>0V</x:v>
      </x:c>
      <x:c r="Q23" s="6" t="str">
        <x:v>X0:0V</x:v>
      </x:c>
      <x:c r="R23" s="6" t="str"/>
      <x:c r="S23" s="6" t="str"/>
      <x:c r="T23" s="6" t="str">
        <x:v>BU</x:v>
      </x:c>
      <x:c r="U23" s="6" t="str">
        <x:v>=FC01+CP01-X0:0V</x:v>
      </x:c>
      <x:c r="V23" s="6" t="str">
        <x:v>Controlled Rev-D topology; conductor size/terminal family and native QET continuity verification remain open</x:v>
      </x:c>
    </x:row>
    <x:row r="24" ht="27" customHeight="1">
      <x:c r="A24" s="6" t="str">
        <x:v>CLAMP_RELEASED_FB</x:v>
      </x:c>
      <x:c r="B24" s="6" t="str">
        <x:v>PNP signal</x:v>
      </x:c>
      <x:c r="C24" s="6" t="str">
        <x:v>-B122</x:v>
      </x:c>
      <x:c r="D24" s="6" t="str">
        <x:v>=FC01+FLD-B122</x:v>
      </x:c>
      <x:c r="E24" s="6" t="str">
        <x:v>4</x:v>
      </x:c>
      <x:c r="F24" s="6" t="str">
        <x:v>C008</x:v>
      </x:c>
      <x:c r="G24" s="6" t="str">
        <x:v>1</x:v>
      </x:c>
      <x:c r="H24" s="6" t="str">
        <x:v>-B122:4</x:v>
      </x:c>
      <x:c r="I24" s="6" t="str">
        <x:v>X100:21</x:v>
      </x:c>
      <x:c r="J24" s="6" t="str">
        <x:v>W0023</x:v>
      </x:c>
      <x:c r="K24" s="6" t="str"/>
      <x:c r="L24" s="6" t="str">
        <x:v>-A102</x:v>
      </x:c>
      <x:c r="M24" s="6" t="str">
        <x:v>=FC01+CP01-A102</x:v>
      </x:c>
      <x:c r="N24" s="6" t="str">
        <x:v>14</x:v>
      </x:c>
      <x:c r="O24" s="6" t="str">
        <x:v>I1.6</x:v>
      </x:c>
      <x:c r="P24" s="6" t="str">
        <x:v>24 VDC switched</x:v>
      </x:c>
      <x:c r="Q24" s="6" t="str"/>
      <x:c r="R24" s="6" t="str"/>
      <x:c r="S24" s="6" t="str"/>
      <x:c r="T24" s="6" t="str">
        <x:v>BK</x:v>
      </x:c>
      <x:c r="U24" s="6" t="str">
        <x:v>=FC01+CP01-A102:14</x:v>
      </x:c>
      <x:c r="V24" s="6" t="str">
        <x:v>Controlled Rev-D topology; conductor size/terminal family and native QET continuity verification remain open</x:v>
      </x:c>
    </x:row>
    <x:row r="25" ht="27" customHeight="1">
      <x:c r="A25" s="6" t="str">
        <x:v>CLAMP_RELEASED_FB</x:v>
      </x:c>
      <x:c r="B25" s="6" t="str">
        <x:v>Sensor/interface supply</x:v>
      </x:c>
      <x:c r="C25" s="6" t="str">
        <x:v>-B122</x:v>
      </x:c>
      <x:c r="D25" s="6" t="str">
        <x:v>=FC01+FLD-B122</x:v>
      </x:c>
      <x:c r="E25" s="6" t="str">
        <x:v>1</x:v>
      </x:c>
      <x:c r="F25" s="6" t="str">
        <x:v>C008</x:v>
      </x:c>
      <x:c r="G25" s="6" t="str">
        <x:v>2</x:v>
      </x:c>
      <x:c r="H25" s="6" t="str">
        <x:v>-B122:1</x:v>
      </x:c>
      <x:c r="I25" s="6" t="str">
        <x:v>X100:22</x:v>
      </x:c>
      <x:c r="J25" s="6" t="str">
        <x:v>W0024</x:v>
      </x:c>
      <x:c r="K25" s="6" t="str"/>
      <x:c r="L25" s="6" t="str">
        <x:v>-A102</x:v>
      </x:c>
      <x:c r="M25" s="6" t="str">
        <x:v>=FC01+CP01-A102</x:v>
      </x:c>
      <x:c r="N25" s="6" t="str">
        <x:v>14</x:v>
      </x:c>
      <x:c r="O25" s="6" t="str">
        <x:v>I1.6</x:v>
      </x:c>
      <x:c r="P25" s="6" t="str">
        <x:v>+24VDC fused</x:v>
      </x:c>
      <x:c r="Q25" s="6" t="str"/>
      <x:c r="R25" s="6" t="str"/>
      <x:c r="S25" s="6" t="str"/>
      <x:c r="T25" s="6" t="str">
        <x:v>BN</x:v>
      </x:c>
      <x:c r="U25" s="6" t="str">
        <x:v>=FC01+CP01-X24:+24V</x:v>
      </x:c>
      <x:c r="V25" s="6" t="str">
        <x:v>Controlled Rev-D topology; conductor size/terminal family and native QET continuity verification remain open</x:v>
      </x:c>
    </x:row>
    <x:row r="26" ht="27" customHeight="1">
      <x:c r="A26" s="6" t="str">
        <x:v>CLAMP_RELEASED_FB</x:v>
      </x:c>
      <x:c r="B26" s="6" t="str">
        <x:v>Sensor/interface return</x:v>
      </x:c>
      <x:c r="C26" s="6" t="str">
        <x:v>-B122</x:v>
      </x:c>
      <x:c r="D26" s="6" t="str">
        <x:v>=FC01+FLD-B122</x:v>
      </x:c>
      <x:c r="E26" s="6" t="str">
        <x:v>3</x:v>
      </x:c>
      <x:c r="F26" s="6" t="str">
        <x:v>C008</x:v>
      </x:c>
      <x:c r="G26" s="6" t="str">
        <x:v>3</x:v>
      </x:c>
      <x:c r="H26" s="6" t="str">
        <x:v>-B122:3</x:v>
      </x:c>
      <x:c r="I26" s="6" t="str">
        <x:v>X100:23</x:v>
      </x:c>
      <x:c r="J26" s="6" t="str">
        <x:v>W0025</x:v>
      </x:c>
      <x:c r="K26" s="6" t="str"/>
      <x:c r="L26" s="6" t="str">
        <x:v>-A102</x:v>
      </x:c>
      <x:c r="M26" s="6" t="str">
        <x:v>=FC01+CP01-A102</x:v>
      </x:c>
      <x:c r="N26" s="6" t="str">
        <x:v>14</x:v>
      </x:c>
      <x:c r="O26" s="6" t="str">
        <x:v>I1.6</x:v>
      </x:c>
      <x:c r="P26" s="6" t="str">
        <x:v>0V</x:v>
      </x:c>
      <x:c r="Q26" s="6" t="str">
        <x:v>X0:0V</x:v>
      </x:c>
      <x:c r="R26" s="6" t="str"/>
      <x:c r="S26" s="6" t="str"/>
      <x:c r="T26" s="6" t="str">
        <x:v>BU</x:v>
      </x:c>
      <x:c r="U26" s="6" t="str">
        <x:v>=FC01+CP01-X0:0V</x:v>
      </x:c>
      <x:c r="V26" s="6" t="str">
        <x:v>Controlled Rev-D topology; conductor size/terminal family and native QET continuity verification remain open</x:v>
      </x:c>
    </x:row>
    <x:row r="27" ht="27" customHeight="1">
      <x:c r="A27" s="6" t="str">
        <x:v>CLAMP_ENGAGED_FB</x:v>
      </x:c>
      <x:c r="B27" s="6" t="str">
        <x:v>PNP signal</x:v>
      </x:c>
      <x:c r="C27" s="6" t="str">
        <x:v>-B123</x:v>
      </x:c>
      <x:c r="D27" s="6" t="str">
        <x:v>=FC01+FLD-B123</x:v>
      </x:c>
      <x:c r="E27" s="6" t="str">
        <x:v>4</x:v>
      </x:c>
      <x:c r="F27" s="6" t="str">
        <x:v>C009</x:v>
      </x:c>
      <x:c r="G27" s="6" t="str">
        <x:v>1</x:v>
      </x:c>
      <x:c r="H27" s="6" t="str">
        <x:v>-B123:4</x:v>
      </x:c>
      <x:c r="I27" s="6" t="str">
        <x:v>X100:24</x:v>
      </x:c>
      <x:c r="J27" s="6" t="str">
        <x:v>W0026</x:v>
      </x:c>
      <x:c r="K27" s="6" t="str"/>
      <x:c r="L27" s="6" t="str">
        <x:v>-A102</x:v>
      </x:c>
      <x:c r="M27" s="6" t="str">
        <x:v>=FC01+CP01-A102</x:v>
      </x:c>
      <x:c r="N27" s="6" t="str">
        <x:v>15</x:v>
      </x:c>
      <x:c r="O27" s="6" t="str">
        <x:v>I1.7</x:v>
      </x:c>
      <x:c r="P27" s="6" t="str">
        <x:v>24 VDC switched</x:v>
      </x:c>
      <x:c r="Q27" s="6" t="str"/>
      <x:c r="R27" s="6" t="str"/>
      <x:c r="S27" s="6" t="str"/>
      <x:c r="T27" s="6" t="str">
        <x:v>BK</x:v>
      </x:c>
      <x:c r="U27" s="6" t="str">
        <x:v>=FC01+CP01-A102:15</x:v>
      </x:c>
      <x:c r="V27" s="6" t="str">
        <x:v>Controlled Rev-D topology; conductor size/terminal family and native QET continuity verification remain open</x:v>
      </x:c>
    </x:row>
    <x:row r="28" ht="27" customHeight="1">
      <x:c r="A28" s="6" t="str">
        <x:v>CLAMP_ENGAGED_FB</x:v>
      </x:c>
      <x:c r="B28" s="6" t="str">
        <x:v>Sensor/interface supply</x:v>
      </x:c>
      <x:c r="C28" s="6" t="str">
        <x:v>-B123</x:v>
      </x:c>
      <x:c r="D28" s="6" t="str">
        <x:v>=FC01+FLD-B123</x:v>
      </x:c>
      <x:c r="E28" s="6" t="str">
        <x:v>1</x:v>
      </x:c>
      <x:c r="F28" s="6" t="str">
        <x:v>C009</x:v>
      </x:c>
      <x:c r="G28" s="6" t="str">
        <x:v>2</x:v>
      </x:c>
      <x:c r="H28" s="6" t="str">
        <x:v>-B123:1</x:v>
      </x:c>
      <x:c r="I28" s="6" t="str">
        <x:v>X101:1</x:v>
      </x:c>
      <x:c r="J28" s="6" t="str">
        <x:v>W0027</x:v>
      </x:c>
      <x:c r="K28" s="6" t="str"/>
      <x:c r="L28" s="6" t="str">
        <x:v>-A102</x:v>
      </x:c>
      <x:c r="M28" s="6" t="str">
        <x:v>=FC01+CP01-A102</x:v>
      </x:c>
      <x:c r="N28" s="6" t="str">
        <x:v>15</x:v>
      </x:c>
      <x:c r="O28" s="6" t="str">
        <x:v>I1.7</x:v>
      </x:c>
      <x:c r="P28" s="6" t="str">
        <x:v>+24VDC fused</x:v>
      </x:c>
      <x:c r="Q28" s="6" t="str"/>
      <x:c r="R28" s="6" t="str"/>
      <x:c r="S28" s="6" t="str"/>
      <x:c r="T28" s="6" t="str">
        <x:v>BN</x:v>
      </x:c>
      <x:c r="U28" s="6" t="str">
        <x:v>=FC01+CP01-X24:+24V</x:v>
      </x:c>
      <x:c r="V28" s="6" t="str">
        <x:v>Controlled Rev-D topology; conductor size/terminal family and native QET continuity verification remain open</x:v>
      </x:c>
    </x:row>
    <x:row r="29" ht="27" customHeight="1">
      <x:c r="A29" s="6" t="str">
        <x:v>CLAMP_ENGAGED_FB</x:v>
      </x:c>
      <x:c r="B29" s="6" t="str">
        <x:v>Sensor/interface return</x:v>
      </x:c>
      <x:c r="C29" s="6" t="str">
        <x:v>-B123</x:v>
      </x:c>
      <x:c r="D29" s="6" t="str">
        <x:v>=FC01+FLD-B123</x:v>
      </x:c>
      <x:c r="E29" s="6" t="str">
        <x:v>3</x:v>
      </x:c>
      <x:c r="F29" s="6" t="str">
        <x:v>C009</x:v>
      </x:c>
      <x:c r="G29" s="6" t="str">
        <x:v>3</x:v>
      </x:c>
      <x:c r="H29" s="6" t="str">
        <x:v>-B123:3</x:v>
      </x:c>
      <x:c r="I29" s="6" t="str">
        <x:v>X101:2</x:v>
      </x:c>
      <x:c r="J29" s="6" t="str">
        <x:v>W0028</x:v>
      </x:c>
      <x:c r="K29" s="6" t="str"/>
      <x:c r="L29" s="6" t="str">
        <x:v>-A102</x:v>
      </x:c>
      <x:c r="M29" s="6" t="str">
        <x:v>=FC01+CP01-A102</x:v>
      </x:c>
      <x:c r="N29" s="6" t="str">
        <x:v>15</x:v>
      </x:c>
      <x:c r="O29" s="6" t="str">
        <x:v>I1.7</x:v>
      </x:c>
      <x:c r="P29" s="6" t="str">
        <x:v>0V</x:v>
      </x:c>
      <x:c r="Q29" s="6" t="str">
        <x:v>X0:0V</x:v>
      </x:c>
      <x:c r="R29" s="6" t="str"/>
      <x:c r="S29" s="6" t="str"/>
      <x:c r="T29" s="6" t="str">
        <x:v>BU</x:v>
      </x:c>
      <x:c r="U29" s="6" t="str">
        <x:v>=FC01+CP01-X0:0V</x:v>
      </x:c>
      <x:c r="V29" s="6" t="str">
        <x:v>Controlled Rev-D topology; conductor size/terminal family and native QET continuity verification remain open</x:v>
      </x:c>
    </x:row>
    <x:row r="30" ht="27" customHeight="1">
      <x:c r="A30" s="6" t="str">
        <x:v>FILL_VALVE_1_CLOSED_FB</x:v>
      </x:c>
      <x:c r="B30" s="6" t="str">
        <x:v>PNP signal</x:v>
      </x:c>
      <x:c r="C30" s="6" t="str">
        <x:v>-B130</x:v>
      </x:c>
      <x:c r="D30" s="6" t="str">
        <x:v>=FC01+FLD-B130</x:v>
      </x:c>
      <x:c r="E30" s="6" t="str">
        <x:v>4</x:v>
      </x:c>
      <x:c r="F30" s="6" t="str">
        <x:v>C010</x:v>
      </x:c>
      <x:c r="G30" s="6" t="str">
        <x:v>1</x:v>
      </x:c>
      <x:c r="H30" s="6" t="str">
        <x:v>-B130:4</x:v>
      </x:c>
      <x:c r="I30" s="6" t="str">
        <x:v>X101:3</x:v>
      </x:c>
      <x:c r="J30" s="6" t="str">
        <x:v>W0029</x:v>
      </x:c>
      <x:c r="K30" s="6" t="str"/>
      <x:c r="L30" s="6" t="str">
        <x:v>-A102</x:v>
      </x:c>
      <x:c r="M30" s="6" t="str">
        <x:v>=FC01+CP01-A102</x:v>
      </x:c>
      <x:c r="N30" s="6" t="str">
        <x:v>16</x:v>
      </x:c>
      <x:c r="O30" s="6" t="str">
        <x:v>I2.0</x:v>
      </x:c>
      <x:c r="P30" s="6" t="str">
        <x:v>24 VDC switched</x:v>
      </x:c>
      <x:c r="Q30" s="6" t="str"/>
      <x:c r="R30" s="6" t="str"/>
      <x:c r="S30" s="6" t="str"/>
      <x:c r="T30" s="6" t="str">
        <x:v>BK</x:v>
      </x:c>
      <x:c r="U30" s="6" t="str">
        <x:v>=FC01+CP01-A102:16</x:v>
      </x:c>
      <x:c r="V30" s="6" t="str">
        <x:v>Controlled Rev-D topology; conductor size/terminal family and native QET continuity verification remain open</x:v>
      </x:c>
    </x:row>
    <x:row r="31" ht="27" customHeight="1">
      <x:c r="A31" s="6" t="str">
        <x:v>FILL_VALVE_1_CLOSED_FB</x:v>
      </x:c>
      <x:c r="B31" s="6" t="str">
        <x:v>Sensor/interface supply</x:v>
      </x:c>
      <x:c r="C31" s="6" t="str">
        <x:v>-B130</x:v>
      </x:c>
      <x:c r="D31" s="6" t="str">
        <x:v>=FC01+FLD-B130</x:v>
      </x:c>
      <x:c r="E31" s="6" t="str">
        <x:v>1</x:v>
      </x:c>
      <x:c r="F31" s="6" t="str">
        <x:v>C010</x:v>
      </x:c>
      <x:c r="G31" s="6" t="str">
        <x:v>2</x:v>
      </x:c>
      <x:c r="H31" s="6" t="str">
        <x:v>-B130:1</x:v>
      </x:c>
      <x:c r="I31" s="6" t="str">
        <x:v>X101:4</x:v>
      </x:c>
      <x:c r="J31" s="6" t="str">
        <x:v>W0030</x:v>
      </x:c>
      <x:c r="K31" s="6" t="str"/>
      <x:c r="L31" s="6" t="str">
        <x:v>-A102</x:v>
      </x:c>
      <x:c r="M31" s="6" t="str">
        <x:v>=FC01+CP01-A102</x:v>
      </x:c>
      <x:c r="N31" s="6" t="str">
        <x:v>16</x:v>
      </x:c>
      <x:c r="O31" s="6" t="str">
        <x:v>I2.0</x:v>
      </x:c>
      <x:c r="P31" s="6" t="str">
        <x:v>+24VDC fused</x:v>
      </x:c>
      <x:c r="Q31" s="6" t="str"/>
      <x:c r="R31" s="6" t="str"/>
      <x:c r="S31" s="6" t="str"/>
      <x:c r="T31" s="6" t="str">
        <x:v>BN</x:v>
      </x:c>
      <x:c r="U31" s="6" t="str">
        <x:v>=FC01+CP01-X24:+24V</x:v>
      </x:c>
      <x:c r="V31" s="6" t="str">
        <x:v>Controlled Rev-D topology; conductor size/terminal family and native QET continuity verification remain open</x:v>
      </x:c>
    </x:row>
    <x:row r="32" ht="27" customHeight="1">
      <x:c r="A32" s="6" t="str">
        <x:v>FILL_VALVE_1_CLOSED_FB</x:v>
      </x:c>
      <x:c r="B32" s="6" t="str">
        <x:v>Sensor/interface return</x:v>
      </x:c>
      <x:c r="C32" s="6" t="str">
        <x:v>-B130</x:v>
      </x:c>
      <x:c r="D32" s="6" t="str">
        <x:v>=FC01+FLD-B130</x:v>
      </x:c>
      <x:c r="E32" s="6" t="str">
        <x:v>3</x:v>
      </x:c>
      <x:c r="F32" s="6" t="str">
        <x:v>C010</x:v>
      </x:c>
      <x:c r="G32" s="6" t="str">
        <x:v>3</x:v>
      </x:c>
      <x:c r="H32" s="6" t="str">
        <x:v>-B130:3</x:v>
      </x:c>
      <x:c r="I32" s="6" t="str">
        <x:v>X101:5</x:v>
      </x:c>
      <x:c r="J32" s="6" t="str">
        <x:v>W0031</x:v>
      </x:c>
      <x:c r="K32" s="6" t="str"/>
      <x:c r="L32" s="6" t="str">
        <x:v>-A102</x:v>
      </x:c>
      <x:c r="M32" s="6" t="str">
        <x:v>=FC01+CP01-A102</x:v>
      </x:c>
      <x:c r="N32" s="6" t="str">
        <x:v>16</x:v>
      </x:c>
      <x:c r="O32" s="6" t="str">
        <x:v>I2.0</x:v>
      </x:c>
      <x:c r="P32" s="6" t="str">
        <x:v>0V</x:v>
      </x:c>
      <x:c r="Q32" s="6" t="str">
        <x:v>X0:0V</x:v>
      </x:c>
      <x:c r="R32" s="6" t="str"/>
      <x:c r="S32" s="6" t="str"/>
      <x:c r="T32" s="6" t="str">
        <x:v>BU</x:v>
      </x:c>
      <x:c r="U32" s="6" t="str">
        <x:v>=FC01+CP01-X0:0V</x:v>
      </x:c>
      <x:c r="V32" s="6" t="str">
        <x:v>Controlled Rev-D topology; conductor size/terminal family and native QET continuity verification remain open</x:v>
      </x:c>
    </x:row>
    <x:row r="33" ht="27" customHeight="1">
      <x:c r="A33" s="6" t="str">
        <x:v>FILL_VALVE_2_CLOSED_FB</x:v>
      </x:c>
      <x:c r="B33" s="6" t="str">
        <x:v>PNP signal</x:v>
      </x:c>
      <x:c r="C33" s="6" t="str">
        <x:v>-B131</x:v>
      </x:c>
      <x:c r="D33" s="6" t="str">
        <x:v>=FC01+FLD-B131</x:v>
      </x:c>
      <x:c r="E33" s="6" t="str">
        <x:v>4</x:v>
      </x:c>
      <x:c r="F33" s="6" t="str">
        <x:v>C011</x:v>
      </x:c>
      <x:c r="G33" s="6" t="str">
        <x:v>1</x:v>
      </x:c>
      <x:c r="H33" s="6" t="str">
        <x:v>-B131:4</x:v>
      </x:c>
      <x:c r="I33" s="6" t="str">
        <x:v>X101:6</x:v>
      </x:c>
      <x:c r="J33" s="6" t="str">
        <x:v>W0032</x:v>
      </x:c>
      <x:c r="K33" s="6" t="str"/>
      <x:c r="L33" s="6" t="str">
        <x:v>-A102</x:v>
      </x:c>
      <x:c r="M33" s="6" t="str">
        <x:v>=FC01+CP01-A102</x:v>
      </x:c>
      <x:c r="N33" s="6" t="str">
        <x:v>17</x:v>
      </x:c>
      <x:c r="O33" s="6" t="str">
        <x:v>I2.1</x:v>
      </x:c>
      <x:c r="P33" s="6" t="str">
        <x:v>24 VDC switched</x:v>
      </x:c>
      <x:c r="Q33" s="6" t="str"/>
      <x:c r="R33" s="6" t="str"/>
      <x:c r="S33" s="6" t="str"/>
      <x:c r="T33" s="6" t="str">
        <x:v>BK</x:v>
      </x:c>
      <x:c r="U33" s="6" t="str">
        <x:v>=FC01+CP01-A102:17</x:v>
      </x:c>
      <x:c r="V33" s="6" t="str">
        <x:v>Controlled Rev-D topology; conductor size/terminal family and native QET continuity verification remain open</x:v>
      </x:c>
    </x:row>
    <x:row r="34" ht="27" customHeight="1">
      <x:c r="A34" s="6" t="str">
        <x:v>FILL_VALVE_2_CLOSED_FB</x:v>
      </x:c>
      <x:c r="B34" s="6" t="str">
        <x:v>Sensor/interface supply</x:v>
      </x:c>
      <x:c r="C34" s="6" t="str">
        <x:v>-B131</x:v>
      </x:c>
      <x:c r="D34" s="6" t="str">
        <x:v>=FC01+FLD-B131</x:v>
      </x:c>
      <x:c r="E34" s="6" t="str">
        <x:v>1</x:v>
      </x:c>
      <x:c r="F34" s="6" t="str">
        <x:v>C011</x:v>
      </x:c>
      <x:c r="G34" s="6" t="str">
        <x:v>2</x:v>
      </x:c>
      <x:c r="H34" s="6" t="str">
        <x:v>-B131:1</x:v>
      </x:c>
      <x:c r="I34" s="6" t="str">
        <x:v>X101:7</x:v>
      </x:c>
      <x:c r="J34" s="6" t="str">
        <x:v>W0033</x:v>
      </x:c>
      <x:c r="K34" s="6" t="str"/>
      <x:c r="L34" s="6" t="str">
        <x:v>-A102</x:v>
      </x:c>
      <x:c r="M34" s="6" t="str">
        <x:v>=FC01+CP01-A102</x:v>
      </x:c>
      <x:c r="N34" s="6" t="str">
        <x:v>17</x:v>
      </x:c>
      <x:c r="O34" s="6" t="str">
        <x:v>I2.1</x:v>
      </x:c>
      <x:c r="P34" s="6" t="str">
        <x:v>+24VDC fused</x:v>
      </x:c>
      <x:c r="Q34" s="6" t="str"/>
      <x:c r="R34" s="6" t="str"/>
      <x:c r="S34" s="6" t="str"/>
      <x:c r="T34" s="6" t="str">
        <x:v>BN</x:v>
      </x:c>
      <x:c r="U34" s="6" t="str">
        <x:v>=FC01+CP01-X24:+24V</x:v>
      </x:c>
      <x:c r="V34" s="6" t="str">
        <x:v>Controlled Rev-D topology; conductor size/terminal family and native QET continuity verification remain open</x:v>
      </x:c>
    </x:row>
    <x:row r="35" ht="27" customHeight="1">
      <x:c r="A35" s="6" t="str">
        <x:v>FILL_VALVE_2_CLOSED_FB</x:v>
      </x:c>
      <x:c r="B35" s="6" t="str">
        <x:v>Sensor/interface return</x:v>
      </x:c>
      <x:c r="C35" s="6" t="str">
        <x:v>-B131</x:v>
      </x:c>
      <x:c r="D35" s="6" t="str">
        <x:v>=FC01+FLD-B131</x:v>
      </x:c>
      <x:c r="E35" s="6" t="str">
        <x:v>3</x:v>
      </x:c>
      <x:c r="F35" s="6" t="str">
        <x:v>C011</x:v>
      </x:c>
      <x:c r="G35" s="6" t="str">
        <x:v>3</x:v>
      </x:c>
      <x:c r="H35" s="6" t="str">
        <x:v>-B131:3</x:v>
      </x:c>
      <x:c r="I35" s="6" t="str">
        <x:v>X101:8</x:v>
      </x:c>
      <x:c r="J35" s="6" t="str">
        <x:v>W0034</x:v>
      </x:c>
      <x:c r="K35" s="6" t="str"/>
      <x:c r="L35" s="6" t="str">
        <x:v>-A102</x:v>
      </x:c>
      <x:c r="M35" s="6" t="str">
        <x:v>=FC01+CP01-A102</x:v>
      </x:c>
      <x:c r="N35" s="6" t="str">
        <x:v>17</x:v>
      </x:c>
      <x:c r="O35" s="6" t="str">
        <x:v>I2.1</x:v>
      </x:c>
      <x:c r="P35" s="6" t="str">
        <x:v>0V</x:v>
      </x:c>
      <x:c r="Q35" s="6" t="str">
        <x:v>X0:0V</x:v>
      </x:c>
      <x:c r="R35" s="6" t="str"/>
      <x:c r="S35" s="6" t="str"/>
      <x:c r="T35" s="6" t="str">
        <x:v>BU</x:v>
      </x:c>
      <x:c r="U35" s="6" t="str">
        <x:v>=FC01+CP01-X0:0V</x:v>
      </x:c>
      <x:c r="V35" s="6" t="str">
        <x:v>Controlled Rev-D topology; conductor size/terminal family and native QET continuity verification remain open</x:v>
      </x:c>
    </x:row>
    <x:row r="36" ht="27" customHeight="1">
      <x:c r="A36" s="6" t="str">
        <x:v>CAPPER_READY</x:v>
      </x:c>
      <x:c r="B36" s="6" t="str">
        <x:v>PNP signal</x:v>
      </x:c>
      <x:c r="C36" s="6" t="str">
        <x:v>-IF140</x:v>
      </x:c>
      <x:c r="D36" s="6" t="str">
        <x:v>=FC01+FLD-IF140</x:v>
      </x:c>
      <x:c r="E36" s="6" t="str">
        <x:v>4</x:v>
      </x:c>
      <x:c r="F36" s="6" t="str">
        <x:v>C012</x:v>
      </x:c>
      <x:c r="G36" s="6" t="str">
        <x:v>1</x:v>
      </x:c>
      <x:c r="H36" s="6" t="str">
        <x:v>-IF140:4</x:v>
      </x:c>
      <x:c r="I36" s="6" t="str">
        <x:v>X101:9</x:v>
      </x:c>
      <x:c r="J36" s="6" t="str">
        <x:v>W0035</x:v>
      </x:c>
      <x:c r="K36" s="6" t="str"/>
      <x:c r="L36" s="6" t="str">
        <x:v>-A102</x:v>
      </x:c>
      <x:c r="M36" s="6" t="str">
        <x:v>=FC01+CP01-A102</x:v>
      </x:c>
      <x:c r="N36" s="6" t="str">
        <x:v>18</x:v>
      </x:c>
      <x:c r="O36" s="6" t="str">
        <x:v>I2.2</x:v>
      </x:c>
      <x:c r="P36" s="6" t="str">
        <x:v>24 VDC switched</x:v>
      </x:c>
      <x:c r="Q36" s="6" t="str"/>
      <x:c r="R36" s="6" t="str"/>
      <x:c r="S36" s="6" t="str"/>
      <x:c r="T36" s="6" t="str">
        <x:v>BK</x:v>
      </x:c>
      <x:c r="U36" s="6" t="str">
        <x:v>=FC01+CP01-A102:18</x:v>
      </x:c>
      <x:c r="V36" s="6" t="str">
        <x:v>Controlled Rev-D topology; conductor size/terminal family and native QET continuity verification remain open</x:v>
      </x:c>
    </x:row>
    <x:row r="37" ht="27" customHeight="1">
      <x:c r="A37" s="6" t="str">
        <x:v>CAPPER_READY</x:v>
      </x:c>
      <x:c r="B37" s="6" t="str">
        <x:v>Sensor/interface supply</x:v>
      </x:c>
      <x:c r="C37" s="6" t="str">
        <x:v>-IF140</x:v>
      </x:c>
      <x:c r="D37" s="6" t="str">
        <x:v>=FC01+FLD-IF140</x:v>
      </x:c>
      <x:c r="E37" s="6" t="str">
        <x:v>1</x:v>
      </x:c>
      <x:c r="F37" s="6" t="str">
        <x:v>C012</x:v>
      </x:c>
      <x:c r="G37" s="6" t="str">
        <x:v>2</x:v>
      </x:c>
      <x:c r="H37" s="6" t="str">
        <x:v>-IF140:1</x:v>
      </x:c>
      <x:c r="I37" s="6" t="str">
        <x:v>X101:10</x:v>
      </x:c>
      <x:c r="J37" s="6" t="str">
        <x:v>W0036</x:v>
      </x:c>
      <x:c r="K37" s="6" t="str"/>
      <x:c r="L37" s="6" t="str">
        <x:v>-A102</x:v>
      </x:c>
      <x:c r="M37" s="6" t="str">
        <x:v>=FC01+CP01-A102</x:v>
      </x:c>
      <x:c r="N37" s="6" t="str">
        <x:v>18</x:v>
      </x:c>
      <x:c r="O37" s="6" t="str">
        <x:v>I2.2</x:v>
      </x:c>
      <x:c r="P37" s="6" t="str">
        <x:v>+24VDC fused</x:v>
      </x:c>
      <x:c r="Q37" s="6" t="str"/>
      <x:c r="R37" s="6" t="str"/>
      <x:c r="S37" s="6" t="str"/>
      <x:c r="T37" s="6" t="str">
        <x:v>BN</x:v>
      </x:c>
      <x:c r="U37" s="6" t="str">
        <x:v>=FC01+CP01-X24:+24V</x:v>
      </x:c>
      <x:c r="V37" s="6" t="str">
        <x:v>Controlled Rev-D topology; conductor size/terminal family and native QET continuity verification remain open</x:v>
      </x:c>
    </x:row>
    <x:row r="38" ht="27" customHeight="1">
      <x:c r="A38" s="6" t="str">
        <x:v>CAPPER_READY</x:v>
      </x:c>
      <x:c r="B38" s="6" t="str">
        <x:v>Sensor/interface return</x:v>
      </x:c>
      <x:c r="C38" s="6" t="str">
        <x:v>-IF140</x:v>
      </x:c>
      <x:c r="D38" s="6" t="str">
        <x:v>=FC01+FLD-IF140</x:v>
      </x:c>
      <x:c r="E38" s="6" t="str">
        <x:v>2</x:v>
      </x:c>
      <x:c r="F38" s="6" t="str">
        <x:v>C012</x:v>
      </x:c>
      <x:c r="G38" s="6" t="str">
        <x:v>3</x:v>
      </x:c>
      <x:c r="H38" s="6" t="str">
        <x:v>-IF140:2</x:v>
      </x:c>
      <x:c r="I38" s="6" t="str">
        <x:v>X101:11</x:v>
      </x:c>
      <x:c r="J38" s="6" t="str">
        <x:v>W0037</x:v>
      </x:c>
      <x:c r="K38" s="6" t="str"/>
      <x:c r="L38" s="6" t="str">
        <x:v>-A102</x:v>
      </x:c>
      <x:c r="M38" s="6" t="str">
        <x:v>=FC01+CP01-A102</x:v>
      </x:c>
      <x:c r="N38" s="6" t="str">
        <x:v>18</x:v>
      </x:c>
      <x:c r="O38" s="6" t="str">
        <x:v>I2.2</x:v>
      </x:c>
      <x:c r="P38" s="6" t="str">
        <x:v>0V</x:v>
      </x:c>
      <x:c r="Q38" s="6" t="str">
        <x:v>X0:0V</x:v>
      </x:c>
      <x:c r="R38" s="6" t="str"/>
      <x:c r="S38" s="6" t="str"/>
      <x:c r="T38" s="6" t="str">
        <x:v>BU</x:v>
      </x:c>
      <x:c r="U38" s="6" t="str">
        <x:v>=FC01+CP01-X0:0V</x:v>
      </x:c>
      <x:c r="V38" s="6" t="str">
        <x:v>Controlled Rev-D topology; conductor size/terminal family and native QET continuity verification remain open</x:v>
      </x:c>
    </x:row>
    <x:row r="39" ht="27" customHeight="1">
      <x:c r="A39" s="6" t="str">
        <x:v>CAPPER_BUSY</x:v>
      </x:c>
      <x:c r="B39" s="6" t="str">
        <x:v>PNP signal</x:v>
      </x:c>
      <x:c r="C39" s="6" t="str">
        <x:v>-IF140</x:v>
      </x:c>
      <x:c r="D39" s="6" t="str">
        <x:v>=FC01+FLD-IF140</x:v>
      </x:c>
      <x:c r="E39" s="6" t="str">
        <x:v>5</x:v>
      </x:c>
      <x:c r="F39" s="6" t="str">
        <x:v>C012</x:v>
      </x:c>
      <x:c r="G39" s="6" t="str">
        <x:v>4</x:v>
      </x:c>
      <x:c r="H39" s="6" t="str">
        <x:v>-IF140:5</x:v>
      </x:c>
      <x:c r="I39" s="6" t="str">
        <x:v>X101:12</x:v>
      </x:c>
      <x:c r="J39" s="6" t="str">
        <x:v>W0038</x:v>
      </x:c>
      <x:c r="K39" s="6" t="str"/>
      <x:c r="L39" s="6" t="str">
        <x:v>-A102</x:v>
      </x:c>
      <x:c r="M39" s="6" t="str">
        <x:v>=FC01+CP01-A102</x:v>
      </x:c>
      <x:c r="N39" s="6" t="str">
        <x:v>19</x:v>
      </x:c>
      <x:c r="O39" s="6" t="str">
        <x:v>I2.3</x:v>
      </x:c>
      <x:c r="P39" s="6" t="str">
        <x:v>24 VDC switched</x:v>
      </x:c>
      <x:c r="Q39" s="6" t="str"/>
      <x:c r="R39" s="6" t="str"/>
      <x:c r="S39" s="6" t="str"/>
      <x:c r="T39" s="6" t="str">
        <x:v>BK</x:v>
      </x:c>
      <x:c r="U39" s="6" t="str">
        <x:v>=FC01+CP01-A102:19</x:v>
      </x:c>
      <x:c r="V39" s="6" t="str">
        <x:v>Controlled Rev-D topology; conductor size/terminal family and native QET continuity verification remain open</x:v>
      </x:c>
    </x:row>
    <x:row r="40" ht="27" customHeight="1">
      <x:c r="A40" s="6" t="str">
        <x:v>CAPPER_COMPLETE</x:v>
      </x:c>
      <x:c r="B40" s="6" t="str">
        <x:v>PNP signal</x:v>
      </x:c>
      <x:c r="C40" s="6" t="str">
        <x:v>-IF140</x:v>
      </x:c>
      <x:c r="D40" s="6" t="str">
        <x:v>=FC01+FLD-IF140</x:v>
      </x:c>
      <x:c r="E40" s="6" t="str">
        <x:v>6</x:v>
      </x:c>
      <x:c r="F40" s="6" t="str">
        <x:v>C012</x:v>
      </x:c>
      <x:c r="G40" s="6" t="str">
        <x:v>5</x:v>
      </x:c>
      <x:c r="H40" s="6" t="str">
        <x:v>-IF140:6</x:v>
      </x:c>
      <x:c r="I40" s="6" t="str">
        <x:v>X101:13</x:v>
      </x:c>
      <x:c r="J40" s="6" t="str">
        <x:v>W0039</x:v>
      </x:c>
      <x:c r="K40" s="6" t="str"/>
      <x:c r="L40" s="6" t="str">
        <x:v>-A102</x:v>
      </x:c>
      <x:c r="M40" s="6" t="str">
        <x:v>=FC01+CP01-A102</x:v>
      </x:c>
      <x:c r="N40" s="6" t="str">
        <x:v>20</x:v>
      </x:c>
      <x:c r="O40" s="6" t="str">
        <x:v>I2.4</x:v>
      </x:c>
      <x:c r="P40" s="6" t="str">
        <x:v>24 VDC switched</x:v>
      </x:c>
      <x:c r="Q40" s="6" t="str"/>
      <x:c r="R40" s="6" t="str"/>
      <x:c r="S40" s="6" t="str"/>
      <x:c r="T40" s="6" t="str">
        <x:v>BK</x:v>
      </x:c>
      <x:c r="U40" s="6" t="str">
        <x:v>=FC01+CP01-A102:20</x:v>
      </x:c>
      <x:c r="V40" s="6" t="str">
        <x:v>Controlled Rev-D topology; conductor size/terminal family and native QET continuity verification remain open</x:v>
      </x:c>
    </x:row>
    <x:row r="41" ht="27" customHeight="1">
      <x:c r="A41" s="6" t="str">
        <x:v>CAPPER_FAULT</x:v>
      </x:c>
      <x:c r="B41" s="6" t="str">
        <x:v>PNP signal</x:v>
      </x:c>
      <x:c r="C41" s="6" t="str">
        <x:v>-IF140</x:v>
      </x:c>
      <x:c r="D41" s="6" t="str">
        <x:v>=FC01+FLD-IF140</x:v>
      </x:c>
      <x:c r="E41" s="6" t="str">
        <x:v>7</x:v>
      </x:c>
      <x:c r="F41" s="6" t="str">
        <x:v>C012</x:v>
      </x:c>
      <x:c r="G41" s="6" t="str">
        <x:v>6</x:v>
      </x:c>
      <x:c r="H41" s="6" t="str">
        <x:v>-IF140:7</x:v>
      </x:c>
      <x:c r="I41" s="6" t="str">
        <x:v>X101:14</x:v>
      </x:c>
      <x:c r="J41" s="6" t="str">
        <x:v>W0040</x:v>
      </x:c>
      <x:c r="K41" s="6" t="str"/>
      <x:c r="L41" s="6" t="str">
        <x:v>-A102</x:v>
      </x:c>
      <x:c r="M41" s="6" t="str">
        <x:v>=FC01+CP01-A102</x:v>
      </x:c>
      <x:c r="N41" s="6" t="str">
        <x:v>21</x:v>
      </x:c>
      <x:c r="O41" s="6" t="str">
        <x:v>I2.5</x:v>
      </x:c>
      <x:c r="P41" s="6" t="str">
        <x:v>24 VDC switched</x:v>
      </x:c>
      <x:c r="Q41" s="6" t="str"/>
      <x:c r="R41" s="6" t="str"/>
      <x:c r="S41" s="6" t="str"/>
      <x:c r="T41" s="6" t="str">
        <x:v>BK</x:v>
      </x:c>
      <x:c r="U41" s="6" t="str">
        <x:v>=FC01+CP01-A102:21</x:v>
      </x:c>
      <x:c r="V41" s="6" t="str">
        <x:v>Controlled Rev-D topology; conductor size/terminal family and native QET continuity verification remain open</x:v>
      </x:c>
    </x:row>
    <x:row r="42" ht="27" customHeight="1">
      <x:c r="A42" s="6" t="str">
        <x:v>LOCAL_RESET_PB</x:v>
      </x:c>
      <x:c r="B42" s="6" t="str">
        <x:v>PNP signal</x:v>
      </x:c>
      <x:c r="C42" s="6" t="str">
        <x:v>-S100</x:v>
      </x:c>
      <x:c r="D42" s="6" t="str">
        <x:v>=FC01+FLD-S100</x:v>
      </x:c>
      <x:c r="E42" s="6" t="str">
        <x:v>4</x:v>
      </x:c>
      <x:c r="F42" s="6" t="str">
        <x:v>C013</x:v>
      </x:c>
      <x:c r="G42" s="6" t="str">
        <x:v>1</x:v>
      </x:c>
      <x:c r="H42" s="6" t="str">
        <x:v>-S100:4</x:v>
      </x:c>
      <x:c r="I42" s="6" t="str">
        <x:v>X101:15</x:v>
      </x:c>
      <x:c r="J42" s="6" t="str">
        <x:v>W0041</x:v>
      </x:c>
      <x:c r="K42" s="6" t="str"/>
      <x:c r="L42" s="6" t="str">
        <x:v>-A102</x:v>
      </x:c>
      <x:c r="M42" s="6" t="str">
        <x:v>=FC01+CP01-A102</x:v>
      </x:c>
      <x:c r="N42" s="6" t="str">
        <x:v>22</x:v>
      </x:c>
      <x:c r="O42" s="6" t="str">
        <x:v>I2.6</x:v>
      </x:c>
      <x:c r="P42" s="6" t="str">
        <x:v>24 VDC switched</x:v>
      </x:c>
      <x:c r="Q42" s="6" t="str"/>
      <x:c r="R42" s="6" t="str"/>
      <x:c r="S42" s="6" t="str"/>
      <x:c r="T42" s="6" t="str">
        <x:v>BK</x:v>
      </x:c>
      <x:c r="U42" s="6" t="str">
        <x:v>=FC01+CP01-A102:22</x:v>
      </x:c>
      <x:c r="V42" s="6" t="str">
        <x:v>Controlled Rev-D topology; conductor size/terminal family and native QET continuity verification remain open</x:v>
      </x:c>
    </x:row>
    <x:row r="43" ht="27" customHeight="1">
      <x:c r="A43" s="6" t="str">
        <x:v>LOCAL_RESET_PB</x:v>
      </x:c>
      <x:c r="B43" s="6" t="str">
        <x:v>Sensor/interface supply</x:v>
      </x:c>
      <x:c r="C43" s="6" t="str">
        <x:v>-S100</x:v>
      </x:c>
      <x:c r="D43" s="6" t="str">
        <x:v>=FC01+FLD-S100</x:v>
      </x:c>
      <x:c r="E43" s="6" t="str">
        <x:v>1</x:v>
      </x:c>
      <x:c r="F43" s="6" t="str">
        <x:v>C013</x:v>
      </x:c>
      <x:c r="G43" s="6" t="str">
        <x:v>2</x:v>
      </x:c>
      <x:c r="H43" s="6" t="str">
        <x:v>-S100:1</x:v>
      </x:c>
      <x:c r="I43" s="6" t="str">
        <x:v>X101:16</x:v>
      </x:c>
      <x:c r="J43" s="6" t="str">
        <x:v>W0042</x:v>
      </x:c>
      <x:c r="K43" s="6" t="str"/>
      <x:c r="L43" s="6" t="str">
        <x:v>-A102</x:v>
      </x:c>
      <x:c r="M43" s="6" t="str">
        <x:v>=FC01+CP01-A102</x:v>
      </x:c>
      <x:c r="N43" s="6" t="str">
        <x:v>22</x:v>
      </x:c>
      <x:c r="O43" s="6" t="str">
        <x:v>I2.6</x:v>
      </x:c>
      <x:c r="P43" s="6" t="str">
        <x:v>+24VDC fused</x:v>
      </x:c>
      <x:c r="Q43" s="6" t="str"/>
      <x:c r="R43" s="6" t="str"/>
      <x:c r="S43" s="6" t="str"/>
      <x:c r="T43" s="6" t="str">
        <x:v>BN</x:v>
      </x:c>
      <x:c r="U43" s="6" t="str">
        <x:v>=FC01+CP01-X24:+24V</x:v>
      </x:c>
      <x:c r="V43" s="6" t="str">
        <x:v>Controlled Rev-D topology; conductor size/terminal family and native QET continuity verification remain open</x:v>
      </x:c>
    </x:row>
    <x:row r="44" ht="27" customHeight="1">
      <x:c r="A44" s="6" t="str">
        <x:v>LOCAL_RESET_PB</x:v>
      </x:c>
      <x:c r="B44" s="6" t="str">
        <x:v>Sensor/interface return</x:v>
      </x:c>
      <x:c r="C44" s="6" t="str">
        <x:v>-S100</x:v>
      </x:c>
      <x:c r="D44" s="6" t="str">
        <x:v>=FC01+FLD-S100</x:v>
      </x:c>
      <x:c r="E44" s="6" t="str">
        <x:v>3</x:v>
      </x:c>
      <x:c r="F44" s="6" t="str">
        <x:v>C013</x:v>
      </x:c>
      <x:c r="G44" s="6" t="str">
        <x:v>3</x:v>
      </x:c>
      <x:c r="H44" s="6" t="str">
        <x:v>-S100:3</x:v>
      </x:c>
      <x:c r="I44" s="6" t="str">
        <x:v>X101:17</x:v>
      </x:c>
      <x:c r="J44" s="6" t="str">
        <x:v>W0043</x:v>
      </x:c>
      <x:c r="K44" s="6" t="str"/>
      <x:c r="L44" s="6" t="str">
        <x:v>-A102</x:v>
      </x:c>
      <x:c r="M44" s="6" t="str">
        <x:v>=FC01+CP01-A102</x:v>
      </x:c>
      <x:c r="N44" s="6" t="str">
        <x:v>22</x:v>
      </x:c>
      <x:c r="O44" s="6" t="str">
        <x:v>I2.6</x:v>
      </x:c>
      <x:c r="P44" s="6" t="str">
        <x:v>0V</x:v>
      </x:c>
      <x:c r="Q44" s="6" t="str">
        <x:v>X0:0V</x:v>
      </x:c>
      <x:c r="R44" s="6" t="str"/>
      <x:c r="S44" s="6" t="str"/>
      <x:c r="T44" s="6" t="str">
        <x:v>BU</x:v>
      </x:c>
      <x:c r="U44" s="6" t="str">
        <x:v>=FC01+CP01-X0:0V</x:v>
      </x:c>
      <x:c r="V44" s="6" t="str">
        <x:v>Controlled Rev-D topology; conductor size/terminal family and native QET continuity verification remain open</x:v>
      </x:c>
    </x:row>
    <x:row r="45" ht="27" customHeight="1">
      <x:c r="A45" s="6" t="str">
        <x:v>LOCAL_STOP_PB</x:v>
      </x:c>
      <x:c r="B45" s="6" t="str">
        <x:v>PNP signal</x:v>
      </x:c>
      <x:c r="C45" s="6" t="str">
        <x:v>-S101</x:v>
      </x:c>
      <x:c r="D45" s="6" t="str">
        <x:v>=FC01+FLD-S101</x:v>
      </x:c>
      <x:c r="E45" s="6" t="str">
        <x:v>4</x:v>
      </x:c>
      <x:c r="F45" s="6" t="str">
        <x:v>C014</x:v>
      </x:c>
      <x:c r="G45" s="6" t="str">
        <x:v>1</x:v>
      </x:c>
      <x:c r="H45" s="6" t="str">
        <x:v>-S101:4</x:v>
      </x:c>
      <x:c r="I45" s="6" t="str">
        <x:v>X101:18</x:v>
      </x:c>
      <x:c r="J45" s="6" t="str">
        <x:v>W0044</x:v>
      </x:c>
      <x:c r="K45" s="6" t="str"/>
      <x:c r="L45" s="6" t="str">
        <x:v>-A102</x:v>
      </x:c>
      <x:c r="M45" s="6" t="str">
        <x:v>=FC01+CP01-A102</x:v>
      </x:c>
      <x:c r="N45" s="6" t="str">
        <x:v>23</x:v>
      </x:c>
      <x:c r="O45" s="6" t="str">
        <x:v>I2.7</x:v>
      </x:c>
      <x:c r="P45" s="6" t="str">
        <x:v>24 VDC switched</x:v>
      </x:c>
      <x:c r="Q45" s="6" t="str"/>
      <x:c r="R45" s="6" t="str"/>
      <x:c r="S45" s="6" t="str"/>
      <x:c r="T45" s="6" t="str">
        <x:v>BK</x:v>
      </x:c>
      <x:c r="U45" s="6" t="str">
        <x:v>=FC01+CP01-A102:23</x:v>
      </x:c>
      <x:c r="V45" s="6" t="str">
        <x:v>Controlled Rev-D topology; conductor size/terminal family and native QET continuity verification remain open</x:v>
      </x:c>
    </x:row>
    <x:row r="46" ht="27" customHeight="1">
      <x:c r="A46" s="6" t="str">
        <x:v>LOCAL_STOP_PB</x:v>
      </x:c>
      <x:c r="B46" s="6" t="str">
        <x:v>Sensor/interface supply</x:v>
      </x:c>
      <x:c r="C46" s="6" t="str">
        <x:v>-S101</x:v>
      </x:c>
      <x:c r="D46" s="6" t="str">
        <x:v>=FC01+FLD-S101</x:v>
      </x:c>
      <x:c r="E46" s="6" t="str">
        <x:v>1</x:v>
      </x:c>
      <x:c r="F46" s="6" t="str">
        <x:v>C014</x:v>
      </x:c>
      <x:c r="G46" s="6" t="str">
        <x:v>2</x:v>
      </x:c>
      <x:c r="H46" s="6" t="str">
        <x:v>-S101:1</x:v>
      </x:c>
      <x:c r="I46" s="6" t="str">
        <x:v>X101:19</x:v>
      </x:c>
      <x:c r="J46" s="6" t="str">
        <x:v>W0045</x:v>
      </x:c>
      <x:c r="K46" s="6" t="str"/>
      <x:c r="L46" s="6" t="str">
        <x:v>-A102</x:v>
      </x:c>
      <x:c r="M46" s="6" t="str">
        <x:v>=FC01+CP01-A102</x:v>
      </x:c>
      <x:c r="N46" s="6" t="str">
        <x:v>23</x:v>
      </x:c>
      <x:c r="O46" s="6" t="str">
        <x:v>I2.7</x:v>
      </x:c>
      <x:c r="P46" s="6" t="str">
        <x:v>+24VDC fused</x:v>
      </x:c>
      <x:c r="Q46" s="6" t="str"/>
      <x:c r="R46" s="6" t="str"/>
      <x:c r="S46" s="6" t="str"/>
      <x:c r="T46" s="6" t="str">
        <x:v>BN</x:v>
      </x:c>
      <x:c r="U46" s="6" t="str">
        <x:v>=FC01+CP01-X24:+24V</x:v>
      </x:c>
      <x:c r="V46" s="6" t="str">
        <x:v>Controlled Rev-D topology; conductor size/terminal family and native QET continuity verification remain open</x:v>
      </x:c>
    </x:row>
    <x:row r="47" ht="27" customHeight="1">
      <x:c r="A47" s="6" t="str">
        <x:v>LOCAL_STOP_PB</x:v>
      </x:c>
      <x:c r="B47" s="6" t="str">
        <x:v>Sensor/interface return</x:v>
      </x:c>
      <x:c r="C47" s="6" t="str">
        <x:v>-S101</x:v>
      </x:c>
      <x:c r="D47" s="6" t="str">
        <x:v>=FC01+FLD-S101</x:v>
      </x:c>
      <x:c r="E47" s="6" t="str">
        <x:v>3</x:v>
      </x:c>
      <x:c r="F47" s="6" t="str">
        <x:v>C014</x:v>
      </x:c>
      <x:c r="G47" s="6" t="str">
        <x:v>3</x:v>
      </x:c>
      <x:c r="H47" s="6" t="str">
        <x:v>-S101:3</x:v>
      </x:c>
      <x:c r="I47" s="6" t="str">
        <x:v>X101:20</x:v>
      </x:c>
      <x:c r="J47" s="6" t="str">
        <x:v>W0046</x:v>
      </x:c>
      <x:c r="K47" s="6" t="str"/>
      <x:c r="L47" s="6" t="str">
        <x:v>-A102</x:v>
      </x:c>
      <x:c r="M47" s="6" t="str">
        <x:v>=FC01+CP01-A102</x:v>
      </x:c>
      <x:c r="N47" s="6" t="str">
        <x:v>23</x:v>
      </x:c>
      <x:c r="O47" s="6" t="str">
        <x:v>I2.7</x:v>
      </x:c>
      <x:c r="P47" s="6" t="str">
        <x:v>0V</x:v>
      </x:c>
      <x:c r="Q47" s="6" t="str">
        <x:v>X0:0V</x:v>
      </x:c>
      <x:c r="R47" s="6" t="str"/>
      <x:c r="S47" s="6" t="str"/>
      <x:c r="T47" s="6" t="str">
        <x:v>BU</x:v>
      </x:c>
      <x:c r="U47" s="6" t="str">
        <x:v>=FC01+CP01-X0:0V</x:v>
      </x:c>
      <x:c r="V47" s="6" t="str">
        <x:v>Controlled Rev-D topology; conductor size/terminal family and native QET continuity verification remain open</x:v>
      </x:c>
    </x:row>
    <x:row r="48" ht="27" customHeight="1">
      <x:c r="A48" s="6" t="str">
        <x:v>FILL_VALVE_1_OPEN_CMD</x:v>
      </x:c>
      <x:c r="B48" s="6" t="str">
        <x:v>PLC output to relay coil</x:v>
      </x:c>
      <x:c r="C48" s="6" t="str">
        <x:v>-K202</x:v>
      </x:c>
      <x:c r="D48" s="6" t="str">
        <x:v>=FC01+CP01-K202</x:v>
      </x:c>
      <x:c r="E48" s="6" t="str">
        <x:v>A1</x:v>
      </x:c>
      <x:c r="F48" s="6" t="str"/>
      <x:c r="G48" s="6" t="str"/>
      <x:c r="H48" s="6" t="str">
        <x:v>-K202:A1</x:v>
      </x:c>
      <x:c r="I48" s="6" t="str"/>
      <x:c r="J48" s="6" t="str">
        <x:v>W0047</x:v>
      </x:c>
      <x:c r="K48" s="6" t="str">
        <x:v>-K202</x:v>
      </x:c>
      <x:c r="L48" s="6" t="str">
        <x:v>-A103</x:v>
      </x:c>
      <x:c r="M48" s="6" t="str">
        <x:v>=FC01+CP01-A103</x:v>
      </x:c>
      <x:c r="N48" s="6" t="str">
        <x:v>2</x:v>
      </x:c>
      <x:c r="O48" s="6" t="str">
        <x:v>Q0.2</x:v>
      </x:c>
      <x:c r="P48" s="6" t="str">
        <x:v>24 VDC switched</x:v>
      </x:c>
      <x:c r="Q48" s="6" t="str"/>
      <x:c r="R48" s="6" t="str"/>
      <x:c r="S48" s="6" t="str"/>
      <x:c r="T48" s="6" t="str">
        <x:v>BK</x:v>
      </x:c>
      <x:c r="U48" s="6" t="str">
        <x:v>=FC01+CP01-A103:2</x:v>
      </x:c>
      <x:c r="V48" s="6" t="str">
        <x:v>Controlled Rev-D topology; conductor size/terminal family and native QET continuity verification remain open</x:v>
      </x:c>
    </x:row>
    <x:row r="49" ht="27" customHeight="1">
      <x:c r="A49" s="6" t="str">
        <x:v>FILL_VALVE_1_OPEN_CMD</x:v>
      </x:c>
      <x:c r="B49" s="6" t="str">
        <x:v>Relay coil return</x:v>
      </x:c>
      <x:c r="C49" s="6" t="str">
        <x:v>-K202</x:v>
      </x:c>
      <x:c r="D49" s="6" t="str">
        <x:v>=FC01+CP01-K202</x:v>
      </x:c>
      <x:c r="E49" s="6" t="str">
        <x:v>A2</x:v>
      </x:c>
      <x:c r="F49" s="6" t="str"/>
      <x:c r="G49" s="6" t="str"/>
      <x:c r="H49" s="6" t="str">
        <x:v>-K202:A2</x:v>
      </x:c>
      <x:c r="I49" s="6" t="str"/>
      <x:c r="J49" s="6" t="str">
        <x:v>W0048</x:v>
      </x:c>
      <x:c r="K49" s="6" t="str">
        <x:v>-K202</x:v>
      </x:c>
      <x:c r="L49" s="6" t="str">
        <x:v>-A103</x:v>
      </x:c>
      <x:c r="M49" s="6" t="str">
        <x:v>=FC01+CP01-A103</x:v>
      </x:c>
      <x:c r="N49" s="6" t="str">
        <x:v>2</x:v>
      </x:c>
      <x:c r="O49" s="6" t="str">
        <x:v>Q0.2</x:v>
      </x:c>
      <x:c r="P49" s="6" t="str">
        <x:v>0V</x:v>
      </x:c>
      <x:c r="Q49" s="6" t="str">
        <x:v>X0:0V</x:v>
      </x:c>
      <x:c r="R49" s="6" t="str"/>
      <x:c r="S49" s="6" t="str"/>
      <x:c r="T49" s="6" t="str">
        <x:v>BU</x:v>
      </x:c>
      <x:c r="U49" s="6" t="str">
        <x:v>=FC01+CP01-X0:0V</x:v>
      </x:c>
      <x:c r="V49" s="6" t="str">
        <x:v>Controlled Rev-D topology; conductor size/terminal family and native QET continuity verification remain open</x:v>
      </x:c>
    </x:row>
    <x:row r="50" ht="27" customHeight="1">
      <x:c r="A50" s="6" t="str">
        <x:v>FILL_VALVE_1_OPEN_CMD</x:v>
      </x:c>
      <x:c r="B50" s="6" t="str">
        <x:v>Relay contact supply</x:v>
      </x:c>
      <x:c r="C50" s="6" t="str">
        <x:v>-K202</x:v>
      </x:c>
      <x:c r="D50" s="6" t="str">
        <x:v>=FC01+CP01-K202</x:v>
      </x:c>
      <x:c r="E50" s="6" t="str">
        <x:v>13</x:v>
      </x:c>
      <x:c r="F50" s="6" t="str"/>
      <x:c r="G50" s="6" t="str"/>
      <x:c r="H50" s="6" t="str">
        <x:v>-K202:13</x:v>
      </x:c>
      <x:c r="I50" s="6" t="str"/>
      <x:c r="J50" s="6" t="str">
        <x:v>W0049</x:v>
      </x:c>
      <x:c r="K50" s="6" t="str">
        <x:v>-K202</x:v>
      </x:c>
      <x:c r="L50" s="6" t="str">
        <x:v>-A103</x:v>
      </x:c>
      <x:c r="M50" s="6" t="str">
        <x:v>=FC01+CP01-A103</x:v>
      </x:c>
      <x:c r="N50" s="6" t="str">
        <x:v>2</x:v>
      </x:c>
      <x:c r="O50" s="6" t="str">
        <x:v>Q0.2</x:v>
      </x:c>
      <x:c r="P50" s="6" t="str">
        <x:v>+24VDC fused</x:v>
      </x:c>
      <x:c r="Q50" s="6" t="str"/>
      <x:c r="R50" s="6" t="str"/>
      <x:c r="S50" s="6" t="str"/>
      <x:c r="T50" s="6" t="str">
        <x:v>RD</x:v>
      </x:c>
      <x:c r="U50" s="6" t="str">
        <x:v>=FC01+CP01-X24:+24V</x:v>
      </x:c>
      <x:c r="V50" s="6" t="str">
        <x:v>Controlled Rev-D topology; conductor size/terminal family and native QET continuity verification remain open</x:v>
      </x:c>
    </x:row>
    <x:row r="51" ht="27" customHeight="1">
      <x:c r="A51" s="6" t="str">
        <x:v>FILL_VALVE_1_OPEN_CMD</x:v>
      </x:c>
      <x:c r="B51" s="6" t="str">
        <x:v>Relay contact 14 to field load</x:v>
      </x:c>
      <x:c r="C51" s="6" t="str">
        <x:v>-YV102</x:v>
      </x:c>
      <x:c r="D51" s="6" t="str">
        <x:v>=FC01+FLD-YV102</x:v>
      </x:c>
      <x:c r="E51" s="6" t="str">
        <x:v>1</x:v>
      </x:c>
      <x:c r="F51" s="6" t="str">
        <x:v>C015</x:v>
      </x:c>
      <x:c r="G51" s="6" t="str">
        <x:v>1</x:v>
      </x:c>
      <x:c r="H51" s="6" t="str">
        <x:v>-YV102:1</x:v>
      </x:c>
      <x:c r="I51" s="6" t="str">
        <x:v>X101:21</x:v>
      </x:c>
      <x:c r="J51" s="6" t="str">
        <x:v>W0050</x:v>
      </x:c>
      <x:c r="K51" s="6" t="str">
        <x:v>-K202</x:v>
      </x:c>
      <x:c r="L51" s="6" t="str">
        <x:v>-A103</x:v>
      </x:c>
      <x:c r="M51" s="6" t="str">
        <x:v>=FC01+CP01-A103</x:v>
      </x:c>
      <x:c r="N51" s="6" t="str">
        <x:v>2</x:v>
      </x:c>
      <x:c r="O51" s="6" t="str">
        <x:v>Q0.2</x:v>
      </x:c>
      <x:c r="P51" s="6" t="str">
        <x:v>+24VDC switched</x:v>
      </x:c>
      <x:c r="Q51" s="6" t="str"/>
      <x:c r="R51" s="6" t="str"/>
      <x:c r="S51" s="6" t="str"/>
      <x:c r="T51" s="6" t="str">
        <x:v>BK</x:v>
      </x:c>
      <x:c r="U51" s="6" t="str">
        <x:v>=FC01+CP01-K202:14</x:v>
      </x:c>
      <x:c r="V51" s="6" t="str">
        <x:v>Controlled Rev-D topology; conductor size/terminal family and native QET continuity verification remain open</x:v>
      </x:c>
    </x:row>
    <x:row r="52" ht="27" customHeight="1">
      <x:c r="A52" s="6" t="str">
        <x:v>FILL_VALVE_1_OPEN_CMD</x:v>
      </x:c>
      <x:c r="B52" s="6" t="str">
        <x:v>Field load return</x:v>
      </x:c>
      <x:c r="C52" s="6" t="str">
        <x:v>-YV102</x:v>
      </x:c>
      <x:c r="D52" s="6" t="str">
        <x:v>=FC01+FLD-YV102</x:v>
      </x:c>
      <x:c r="E52" s="6" t="str">
        <x:v>2</x:v>
      </x:c>
      <x:c r="F52" s="6" t="str">
        <x:v>C015</x:v>
      </x:c>
      <x:c r="G52" s="6" t="str">
        <x:v>2</x:v>
      </x:c>
      <x:c r="H52" s="6" t="str">
        <x:v>-YV102:2</x:v>
      </x:c>
      <x:c r="I52" s="6" t="str">
        <x:v>X101:22</x:v>
      </x:c>
      <x:c r="J52" s="6" t="str">
        <x:v>W0051</x:v>
      </x:c>
      <x:c r="K52" s="6" t="str">
        <x:v>-K202</x:v>
      </x:c>
      <x:c r="L52" s="6" t="str">
        <x:v>-A103</x:v>
      </x:c>
      <x:c r="M52" s="6" t="str">
        <x:v>=FC01+CP01-A103</x:v>
      </x:c>
      <x:c r="N52" s="6" t="str">
        <x:v>2</x:v>
      </x:c>
      <x:c r="O52" s="6" t="str">
        <x:v>Q0.2</x:v>
      </x:c>
      <x:c r="P52" s="6" t="str">
        <x:v>0V</x:v>
      </x:c>
      <x:c r="Q52" s="6" t="str">
        <x:v>X0:0V</x:v>
      </x:c>
      <x:c r="R52" s="6" t="str"/>
      <x:c r="S52" s="6" t="str"/>
      <x:c r="T52" s="6" t="str">
        <x:v>BU</x:v>
      </x:c>
      <x:c r="U52" s="6" t="str">
        <x:v>=FC01+CP01-X0:0V</x:v>
      </x:c>
      <x:c r="V52" s="6" t="str">
        <x:v>Controlled Rev-D topology; conductor size/terminal family and native QET continuity verification remain open</x:v>
      </x:c>
    </x:row>
    <x:row r="53" ht="27" customHeight="1">
      <x:c r="A53" s="6" t="str">
        <x:v>FILL_VALVE_2_OPEN_CMD</x:v>
      </x:c>
      <x:c r="B53" s="6" t="str">
        <x:v>PLC output to relay coil</x:v>
      </x:c>
      <x:c r="C53" s="6" t="str">
        <x:v>-K203</x:v>
      </x:c>
      <x:c r="D53" s="6" t="str">
        <x:v>=FC01+CP01-K203</x:v>
      </x:c>
      <x:c r="E53" s="6" t="str">
        <x:v>A1</x:v>
      </x:c>
      <x:c r="F53" s="6" t="str"/>
      <x:c r="G53" s="6" t="str"/>
      <x:c r="H53" s="6" t="str">
        <x:v>-K203:A1</x:v>
      </x:c>
      <x:c r="I53" s="6" t="str"/>
      <x:c r="J53" s="6" t="str">
        <x:v>W0052</x:v>
      </x:c>
      <x:c r="K53" s="6" t="str">
        <x:v>-K203</x:v>
      </x:c>
      <x:c r="L53" s="6" t="str">
        <x:v>-A103</x:v>
      </x:c>
      <x:c r="M53" s="6" t="str">
        <x:v>=FC01+CP01-A103</x:v>
      </x:c>
      <x:c r="N53" s="6" t="str">
        <x:v>3</x:v>
      </x:c>
      <x:c r="O53" s="6" t="str">
        <x:v>Q0.3</x:v>
      </x:c>
      <x:c r="P53" s="6" t="str">
        <x:v>24 VDC switched</x:v>
      </x:c>
      <x:c r="Q53" s="6" t="str"/>
      <x:c r="R53" s="6" t="str"/>
      <x:c r="S53" s="6" t="str"/>
      <x:c r="T53" s="6" t="str">
        <x:v>BK</x:v>
      </x:c>
      <x:c r="U53" s="6" t="str">
        <x:v>=FC01+CP01-A103:3</x:v>
      </x:c>
      <x:c r="V53" s="6" t="str">
        <x:v>Controlled Rev-D topology; conductor size/terminal family and native QET continuity verification remain open</x:v>
      </x:c>
    </x:row>
    <x:row r="54" ht="27" customHeight="1">
      <x:c r="A54" s="6" t="str">
        <x:v>FILL_VALVE_2_OPEN_CMD</x:v>
      </x:c>
      <x:c r="B54" s="6" t="str">
        <x:v>Relay coil return</x:v>
      </x:c>
      <x:c r="C54" s="6" t="str">
        <x:v>-K203</x:v>
      </x:c>
      <x:c r="D54" s="6" t="str">
        <x:v>=FC01+CP01-K203</x:v>
      </x:c>
      <x:c r="E54" s="6" t="str">
        <x:v>A2</x:v>
      </x:c>
      <x:c r="F54" s="6" t="str"/>
      <x:c r="G54" s="6" t="str"/>
      <x:c r="H54" s="6" t="str">
        <x:v>-K203:A2</x:v>
      </x:c>
      <x:c r="I54" s="6" t="str"/>
      <x:c r="J54" s="6" t="str">
        <x:v>W0053</x:v>
      </x:c>
      <x:c r="K54" s="6" t="str">
        <x:v>-K203</x:v>
      </x:c>
      <x:c r="L54" s="6" t="str">
        <x:v>-A103</x:v>
      </x:c>
      <x:c r="M54" s="6" t="str">
        <x:v>=FC01+CP01-A103</x:v>
      </x:c>
      <x:c r="N54" s="6" t="str">
        <x:v>3</x:v>
      </x:c>
      <x:c r="O54" s="6" t="str">
        <x:v>Q0.3</x:v>
      </x:c>
      <x:c r="P54" s="6" t="str">
        <x:v>0V</x:v>
      </x:c>
      <x:c r="Q54" s="6" t="str">
        <x:v>X0:0V</x:v>
      </x:c>
      <x:c r="R54" s="6" t="str"/>
      <x:c r="S54" s="6" t="str"/>
      <x:c r="T54" s="6" t="str">
        <x:v>BU</x:v>
      </x:c>
      <x:c r="U54" s="6" t="str">
        <x:v>=FC01+CP01-X0:0V</x:v>
      </x:c>
      <x:c r="V54" s="6" t="str">
        <x:v>Controlled Rev-D topology; conductor size/terminal family and native QET continuity verification remain open</x:v>
      </x:c>
    </x:row>
    <x:row r="55" ht="27" customHeight="1">
      <x:c r="A55" s="6" t="str">
        <x:v>FILL_VALVE_2_OPEN_CMD</x:v>
      </x:c>
      <x:c r="B55" s="6" t="str">
        <x:v>Relay contact supply</x:v>
      </x:c>
      <x:c r="C55" s="6" t="str">
        <x:v>-K203</x:v>
      </x:c>
      <x:c r="D55" s="6" t="str">
        <x:v>=FC01+CP01-K203</x:v>
      </x:c>
      <x:c r="E55" s="6" t="str">
        <x:v>13</x:v>
      </x:c>
      <x:c r="F55" s="6" t="str"/>
      <x:c r="G55" s="6" t="str"/>
      <x:c r="H55" s="6" t="str">
        <x:v>-K203:13</x:v>
      </x:c>
      <x:c r="I55" s="6" t="str"/>
      <x:c r="J55" s="6" t="str">
        <x:v>W0054</x:v>
      </x:c>
      <x:c r="K55" s="6" t="str">
        <x:v>-K203</x:v>
      </x:c>
      <x:c r="L55" s="6" t="str">
        <x:v>-A103</x:v>
      </x:c>
      <x:c r="M55" s="6" t="str">
        <x:v>=FC01+CP01-A103</x:v>
      </x:c>
      <x:c r="N55" s="6" t="str">
        <x:v>3</x:v>
      </x:c>
      <x:c r="O55" s="6" t="str">
        <x:v>Q0.3</x:v>
      </x:c>
      <x:c r="P55" s="6" t="str">
        <x:v>+24VDC fused</x:v>
      </x:c>
      <x:c r="Q55" s="6" t="str"/>
      <x:c r="R55" s="6" t="str"/>
      <x:c r="S55" s="6" t="str"/>
      <x:c r="T55" s="6" t="str">
        <x:v>RD</x:v>
      </x:c>
      <x:c r="U55" s="6" t="str">
        <x:v>=FC01+CP01-X24:+24V</x:v>
      </x:c>
      <x:c r="V55" s="6" t="str">
        <x:v>Controlled Rev-D topology; conductor size/terminal family and native QET continuity verification remain open</x:v>
      </x:c>
    </x:row>
    <x:row r="56" ht="27" customHeight="1">
      <x:c r="A56" s="6" t="str">
        <x:v>FILL_VALVE_2_OPEN_CMD</x:v>
      </x:c>
      <x:c r="B56" s="6" t="str">
        <x:v>Relay contact 14 to field load</x:v>
      </x:c>
      <x:c r="C56" s="6" t="str">
        <x:v>-YV103</x:v>
      </x:c>
      <x:c r="D56" s="6" t="str">
        <x:v>=FC01+FLD-YV103</x:v>
      </x:c>
      <x:c r="E56" s="6" t="str">
        <x:v>1</x:v>
      </x:c>
      <x:c r="F56" s="6" t="str">
        <x:v>C016</x:v>
      </x:c>
      <x:c r="G56" s="6" t="str">
        <x:v>1</x:v>
      </x:c>
      <x:c r="H56" s="6" t="str">
        <x:v>-YV103:1</x:v>
      </x:c>
      <x:c r="I56" s="6" t="str">
        <x:v>X101:23</x:v>
      </x:c>
      <x:c r="J56" s="6" t="str">
        <x:v>W0055</x:v>
      </x:c>
      <x:c r="K56" s="6" t="str">
        <x:v>-K203</x:v>
      </x:c>
      <x:c r="L56" s="6" t="str">
        <x:v>-A103</x:v>
      </x:c>
      <x:c r="M56" s="6" t="str">
        <x:v>=FC01+CP01-A103</x:v>
      </x:c>
      <x:c r="N56" s="6" t="str">
        <x:v>3</x:v>
      </x:c>
      <x:c r="O56" s="6" t="str">
        <x:v>Q0.3</x:v>
      </x:c>
      <x:c r="P56" s="6" t="str">
        <x:v>+24VDC switched</x:v>
      </x:c>
      <x:c r="Q56" s="6" t="str"/>
      <x:c r="R56" s="6" t="str"/>
      <x:c r="S56" s="6" t="str"/>
      <x:c r="T56" s="6" t="str">
        <x:v>BK</x:v>
      </x:c>
      <x:c r="U56" s="6" t="str">
        <x:v>=FC01+CP01-K203:14</x:v>
      </x:c>
      <x:c r="V56" s="6" t="str">
        <x:v>Controlled Rev-D topology; conductor size/terminal family and native QET continuity verification remain open</x:v>
      </x:c>
    </x:row>
    <x:row r="57" ht="27" customHeight="1">
      <x:c r="A57" s="6" t="str">
        <x:v>FILL_VALVE_2_OPEN_CMD</x:v>
      </x:c>
      <x:c r="B57" s="6" t="str">
        <x:v>Field load return</x:v>
      </x:c>
      <x:c r="C57" s="6" t="str">
        <x:v>-YV103</x:v>
      </x:c>
      <x:c r="D57" s="6" t="str">
        <x:v>=FC01+FLD-YV103</x:v>
      </x:c>
      <x:c r="E57" s="6" t="str">
        <x:v>2</x:v>
      </x:c>
      <x:c r="F57" s="6" t="str">
        <x:v>C016</x:v>
      </x:c>
      <x:c r="G57" s="6" t="str">
        <x:v>2</x:v>
      </x:c>
      <x:c r="H57" s="6" t="str">
        <x:v>-YV103:2</x:v>
      </x:c>
      <x:c r="I57" s="6" t="str">
        <x:v>X101:24</x:v>
      </x:c>
      <x:c r="J57" s="6" t="str">
        <x:v>W0056</x:v>
      </x:c>
      <x:c r="K57" s="6" t="str">
        <x:v>-K203</x:v>
      </x:c>
      <x:c r="L57" s="6" t="str">
        <x:v>-A103</x:v>
      </x:c>
      <x:c r="M57" s="6" t="str">
        <x:v>=FC01+CP01-A103</x:v>
      </x:c>
      <x:c r="N57" s="6" t="str">
        <x:v>3</x:v>
      </x:c>
      <x:c r="O57" s="6" t="str">
        <x:v>Q0.3</x:v>
      </x:c>
      <x:c r="P57" s="6" t="str">
        <x:v>0V</x:v>
      </x:c>
      <x:c r="Q57" s="6" t="str">
        <x:v>X0:0V</x:v>
      </x:c>
      <x:c r="R57" s="6" t="str"/>
      <x:c r="S57" s="6" t="str"/>
      <x:c r="T57" s="6" t="str">
        <x:v>BU</x:v>
      </x:c>
      <x:c r="U57" s="6" t="str">
        <x:v>=FC01+CP01-X0:0V</x:v>
      </x:c>
      <x:c r="V57" s="6" t="str">
        <x:v>Controlled Rev-D topology; conductor size/terminal family and native QET continuity verification remain open</x:v>
      </x:c>
    </x:row>
    <x:row r="58" ht="27" customHeight="1">
      <x:c r="A58" s="6" t="str">
        <x:v>GATE_OPEN_CMD</x:v>
      </x:c>
      <x:c r="B58" s="6" t="str">
        <x:v>PLC output to relay coil</x:v>
      </x:c>
      <x:c r="C58" s="6" t="str">
        <x:v>-K204</x:v>
      </x:c>
      <x:c r="D58" s="6" t="str">
        <x:v>=FC01+CP01-K204</x:v>
      </x:c>
      <x:c r="E58" s="6" t="str">
        <x:v>A1</x:v>
      </x:c>
      <x:c r="F58" s="6" t="str"/>
      <x:c r="G58" s="6" t="str"/>
      <x:c r="H58" s="6" t="str">
        <x:v>-K204:A1</x:v>
      </x:c>
      <x:c r="I58" s="6" t="str"/>
      <x:c r="J58" s="6" t="str">
        <x:v>W0057</x:v>
      </x:c>
      <x:c r="K58" s="6" t="str">
        <x:v>-K204</x:v>
      </x:c>
      <x:c r="L58" s="6" t="str">
        <x:v>-A103</x:v>
      </x:c>
      <x:c r="M58" s="6" t="str">
        <x:v>=FC01+CP01-A103</x:v>
      </x:c>
      <x:c r="N58" s="6" t="str">
        <x:v>4</x:v>
      </x:c>
      <x:c r="O58" s="6" t="str">
        <x:v>Q0.4</x:v>
      </x:c>
      <x:c r="P58" s="6" t="str">
        <x:v>24 VDC switched</x:v>
      </x:c>
      <x:c r="Q58" s="6" t="str"/>
      <x:c r="R58" s="6" t="str"/>
      <x:c r="S58" s="6" t="str"/>
      <x:c r="T58" s="6" t="str">
        <x:v>BK</x:v>
      </x:c>
      <x:c r="U58" s="6" t="str">
        <x:v>=FC01+CP01-A103:4</x:v>
      </x:c>
      <x:c r="V58" s="6" t="str">
        <x:v>Controlled Rev-D topology; conductor size/terminal family and native QET continuity verification remain open</x:v>
      </x:c>
    </x:row>
    <x:row r="59" ht="27" customHeight="1">
      <x:c r="A59" s="6" t="str">
        <x:v>GATE_OPEN_CMD</x:v>
      </x:c>
      <x:c r="B59" s="6" t="str">
        <x:v>Relay coil return</x:v>
      </x:c>
      <x:c r="C59" s="6" t="str">
        <x:v>-K204</x:v>
      </x:c>
      <x:c r="D59" s="6" t="str">
        <x:v>=FC01+CP01-K204</x:v>
      </x:c>
      <x:c r="E59" s="6" t="str">
        <x:v>A2</x:v>
      </x:c>
      <x:c r="F59" s="6" t="str"/>
      <x:c r="G59" s="6" t="str"/>
      <x:c r="H59" s="6" t="str">
        <x:v>-K204:A2</x:v>
      </x:c>
      <x:c r="I59" s="6" t="str"/>
      <x:c r="J59" s="6" t="str">
        <x:v>W0058</x:v>
      </x:c>
      <x:c r="K59" s="6" t="str">
        <x:v>-K204</x:v>
      </x:c>
      <x:c r="L59" s="6" t="str">
        <x:v>-A103</x:v>
      </x:c>
      <x:c r="M59" s="6" t="str">
        <x:v>=FC01+CP01-A103</x:v>
      </x:c>
      <x:c r="N59" s="6" t="str">
        <x:v>4</x:v>
      </x:c>
      <x:c r="O59" s="6" t="str">
        <x:v>Q0.4</x:v>
      </x:c>
      <x:c r="P59" s="6" t="str">
        <x:v>0V</x:v>
      </x:c>
      <x:c r="Q59" s="6" t="str">
        <x:v>X0:0V</x:v>
      </x:c>
      <x:c r="R59" s="6" t="str"/>
      <x:c r="S59" s="6" t="str"/>
      <x:c r="T59" s="6" t="str">
        <x:v>BU</x:v>
      </x:c>
      <x:c r="U59" s="6" t="str">
        <x:v>=FC01+CP01-X0:0V</x:v>
      </x:c>
      <x:c r="V59" s="6" t="str">
        <x:v>Controlled Rev-D topology; conductor size/terminal family and native QET continuity verification remain open</x:v>
      </x:c>
    </x:row>
    <x:row r="60" ht="27" customHeight="1">
      <x:c r="A60" s="6" t="str">
        <x:v>GATE_OPEN_CMD</x:v>
      </x:c>
      <x:c r="B60" s="6" t="str">
        <x:v>Relay contact supply</x:v>
      </x:c>
      <x:c r="C60" s="6" t="str">
        <x:v>-K204</x:v>
      </x:c>
      <x:c r="D60" s="6" t="str">
        <x:v>=FC01+CP01-K204</x:v>
      </x:c>
      <x:c r="E60" s="6" t="str">
        <x:v>13</x:v>
      </x:c>
      <x:c r="F60" s="6" t="str"/>
      <x:c r="G60" s="6" t="str"/>
      <x:c r="H60" s="6" t="str">
        <x:v>-K204:13</x:v>
      </x:c>
      <x:c r="I60" s="6" t="str"/>
      <x:c r="J60" s="6" t="str">
        <x:v>W0059</x:v>
      </x:c>
      <x:c r="K60" s="6" t="str">
        <x:v>-K204</x:v>
      </x:c>
      <x:c r="L60" s="6" t="str">
        <x:v>-A103</x:v>
      </x:c>
      <x:c r="M60" s="6" t="str">
        <x:v>=FC01+CP01-A103</x:v>
      </x:c>
      <x:c r="N60" s="6" t="str">
        <x:v>4</x:v>
      </x:c>
      <x:c r="O60" s="6" t="str">
        <x:v>Q0.4</x:v>
      </x:c>
      <x:c r="P60" s="6" t="str">
        <x:v>+24VDC fused</x:v>
      </x:c>
      <x:c r="Q60" s="6" t="str"/>
      <x:c r="R60" s="6" t="str"/>
      <x:c r="S60" s="6" t="str"/>
      <x:c r="T60" s="6" t="str">
        <x:v>RD</x:v>
      </x:c>
      <x:c r="U60" s="6" t="str">
        <x:v>=FC01+CP01-X24:+24V</x:v>
      </x:c>
      <x:c r="V60" s="6" t="str">
        <x:v>Controlled Rev-D topology; conductor size/terminal family and native QET continuity verification remain open</x:v>
      </x:c>
    </x:row>
    <x:row r="61" ht="27" customHeight="1">
      <x:c r="A61" s="6" t="str">
        <x:v>GATE_OPEN_CMD</x:v>
      </x:c>
      <x:c r="B61" s="6" t="str">
        <x:v>Relay contact 14 to field load</x:v>
      </x:c>
      <x:c r="C61" s="6" t="str">
        <x:v>-YV100</x:v>
      </x:c>
      <x:c r="D61" s="6" t="str">
        <x:v>=FC01+FLD-YV100</x:v>
      </x:c>
      <x:c r="E61" s="6" t="str">
        <x:v>1</x:v>
      </x:c>
      <x:c r="F61" s="6" t="str">
        <x:v>C017</x:v>
      </x:c>
      <x:c r="G61" s="6" t="str">
        <x:v>1</x:v>
      </x:c>
      <x:c r="H61" s="6" t="str">
        <x:v>-YV100:1</x:v>
      </x:c>
      <x:c r="I61" s="6" t="str">
        <x:v>X102:1</x:v>
      </x:c>
      <x:c r="J61" s="6" t="str">
        <x:v>W0060</x:v>
      </x:c>
      <x:c r="K61" s="6" t="str">
        <x:v>-K204</x:v>
      </x:c>
      <x:c r="L61" s="6" t="str">
        <x:v>-A103</x:v>
      </x:c>
      <x:c r="M61" s="6" t="str">
        <x:v>=FC01+CP01-A103</x:v>
      </x:c>
      <x:c r="N61" s="6" t="str">
        <x:v>4</x:v>
      </x:c>
      <x:c r="O61" s="6" t="str">
        <x:v>Q0.4</x:v>
      </x:c>
      <x:c r="P61" s="6" t="str">
        <x:v>+24VDC switched</x:v>
      </x:c>
      <x:c r="Q61" s="6" t="str"/>
      <x:c r="R61" s="6" t="str"/>
      <x:c r="S61" s="6" t="str"/>
      <x:c r="T61" s="6" t="str">
        <x:v>BK</x:v>
      </x:c>
      <x:c r="U61" s="6" t="str">
        <x:v>=FC01+CP01-K204:14</x:v>
      </x:c>
      <x:c r="V61" s="6" t="str">
        <x:v>Controlled Rev-D topology; conductor size/terminal family and native QET continuity verification remain open</x:v>
      </x:c>
    </x:row>
    <x:row r="62" ht="27" customHeight="1">
      <x:c r="A62" s="6" t="str">
        <x:v>GATE_OPEN_CMD</x:v>
      </x:c>
      <x:c r="B62" s="6" t="str">
        <x:v>Field load return</x:v>
      </x:c>
      <x:c r="C62" s="6" t="str">
        <x:v>-YV100</x:v>
      </x:c>
      <x:c r="D62" s="6" t="str">
        <x:v>=FC01+FLD-YV100</x:v>
      </x:c>
      <x:c r="E62" s="6" t="str">
        <x:v>2</x:v>
      </x:c>
      <x:c r="F62" s="6" t="str">
        <x:v>C017</x:v>
      </x:c>
      <x:c r="G62" s="6" t="str">
        <x:v>2</x:v>
      </x:c>
      <x:c r="H62" s="6" t="str">
        <x:v>-YV100:2</x:v>
      </x:c>
      <x:c r="I62" s="6" t="str">
        <x:v>X102:2</x:v>
      </x:c>
      <x:c r="J62" s="6" t="str">
        <x:v>W0061</x:v>
      </x:c>
      <x:c r="K62" s="6" t="str">
        <x:v>-K204</x:v>
      </x:c>
      <x:c r="L62" s="6" t="str">
        <x:v>-A103</x:v>
      </x:c>
      <x:c r="M62" s="6" t="str">
        <x:v>=FC01+CP01-A103</x:v>
      </x:c>
      <x:c r="N62" s="6" t="str">
        <x:v>4</x:v>
      </x:c>
      <x:c r="O62" s="6" t="str">
        <x:v>Q0.4</x:v>
      </x:c>
      <x:c r="P62" s="6" t="str">
        <x:v>0V</x:v>
      </x:c>
      <x:c r="Q62" s="6" t="str">
        <x:v>X0:0V</x:v>
      </x:c>
      <x:c r="R62" s="6" t="str"/>
      <x:c r="S62" s="6" t="str"/>
      <x:c r="T62" s="6" t="str">
        <x:v>BU</x:v>
      </x:c>
      <x:c r="U62" s="6" t="str">
        <x:v>=FC01+CP01-X0:0V</x:v>
      </x:c>
      <x:c r="V62" s="6" t="str">
        <x:v>Controlled Rev-D topology; conductor size/terminal family and native QET continuity verification remain open</x:v>
      </x:c>
    </x:row>
    <x:row r="63" ht="27" customHeight="1">
      <x:c r="A63" s="6" t="str">
        <x:v>GATE_CLOSE_CMD</x:v>
      </x:c>
      <x:c r="B63" s="6" t="str">
        <x:v>PLC output to relay coil</x:v>
      </x:c>
      <x:c r="C63" s="6" t="str">
        <x:v>-K205</x:v>
      </x:c>
      <x:c r="D63" s="6" t="str">
        <x:v>=FC01+CP01-K205</x:v>
      </x:c>
      <x:c r="E63" s="6" t="str">
        <x:v>A1</x:v>
      </x:c>
      <x:c r="F63" s="6" t="str"/>
      <x:c r="G63" s="6" t="str"/>
      <x:c r="H63" s="6" t="str">
        <x:v>-K205:A1</x:v>
      </x:c>
      <x:c r="I63" s="6" t="str"/>
      <x:c r="J63" s="6" t="str">
        <x:v>W0062</x:v>
      </x:c>
      <x:c r="K63" s="6" t="str">
        <x:v>-K205</x:v>
      </x:c>
      <x:c r="L63" s="6" t="str">
        <x:v>-A103</x:v>
      </x:c>
      <x:c r="M63" s="6" t="str">
        <x:v>=FC01+CP01-A103</x:v>
      </x:c>
      <x:c r="N63" s="6" t="str">
        <x:v>5</x:v>
      </x:c>
      <x:c r="O63" s="6" t="str">
        <x:v>Q0.5</x:v>
      </x:c>
      <x:c r="P63" s="6" t="str">
        <x:v>24 VDC switched</x:v>
      </x:c>
      <x:c r="Q63" s="6" t="str"/>
      <x:c r="R63" s="6" t="str"/>
      <x:c r="S63" s="6" t="str"/>
      <x:c r="T63" s="6" t="str">
        <x:v>BK</x:v>
      </x:c>
      <x:c r="U63" s="6" t="str">
        <x:v>=FC01+CP01-A103:5</x:v>
      </x:c>
      <x:c r="V63" s="6" t="str">
        <x:v>Controlled Rev-D topology; conductor size/terminal family and native QET continuity verification remain open</x:v>
      </x:c>
    </x:row>
    <x:row r="64" ht="27" customHeight="1">
      <x:c r="A64" s="6" t="str">
        <x:v>GATE_CLOSE_CMD</x:v>
      </x:c>
      <x:c r="B64" s="6" t="str">
        <x:v>Relay coil return</x:v>
      </x:c>
      <x:c r="C64" s="6" t="str">
        <x:v>-K205</x:v>
      </x:c>
      <x:c r="D64" s="6" t="str">
        <x:v>=FC01+CP01-K205</x:v>
      </x:c>
      <x:c r="E64" s="6" t="str">
        <x:v>A2</x:v>
      </x:c>
      <x:c r="F64" s="6" t="str"/>
      <x:c r="G64" s="6" t="str"/>
      <x:c r="H64" s="6" t="str">
        <x:v>-K205:A2</x:v>
      </x:c>
      <x:c r="I64" s="6" t="str"/>
      <x:c r="J64" s="6" t="str">
        <x:v>W0063</x:v>
      </x:c>
      <x:c r="K64" s="6" t="str">
        <x:v>-K205</x:v>
      </x:c>
      <x:c r="L64" s="6" t="str">
        <x:v>-A103</x:v>
      </x:c>
      <x:c r="M64" s="6" t="str">
        <x:v>=FC01+CP01-A103</x:v>
      </x:c>
      <x:c r="N64" s="6" t="str">
        <x:v>5</x:v>
      </x:c>
      <x:c r="O64" s="6" t="str">
        <x:v>Q0.5</x:v>
      </x:c>
      <x:c r="P64" s="6" t="str">
        <x:v>0V</x:v>
      </x:c>
      <x:c r="Q64" s="6" t="str">
        <x:v>X0:0V</x:v>
      </x:c>
      <x:c r="R64" s="6" t="str"/>
      <x:c r="S64" s="6" t="str"/>
      <x:c r="T64" s="6" t="str">
        <x:v>BU</x:v>
      </x:c>
      <x:c r="U64" s="6" t="str">
        <x:v>=FC01+CP01-X0:0V</x:v>
      </x:c>
      <x:c r="V64" s="6" t="str">
        <x:v>Controlled Rev-D topology; conductor size/terminal family and native QET continuity verification remain open</x:v>
      </x:c>
    </x:row>
    <x:row r="65" ht="27" customHeight="1">
      <x:c r="A65" s="6" t="str">
        <x:v>GATE_CLOSE_CMD</x:v>
      </x:c>
      <x:c r="B65" s="6" t="str">
        <x:v>Relay contact supply</x:v>
      </x:c>
      <x:c r="C65" s="6" t="str">
        <x:v>-K205</x:v>
      </x:c>
      <x:c r="D65" s="6" t="str">
        <x:v>=FC01+CP01-K205</x:v>
      </x:c>
      <x:c r="E65" s="6" t="str">
        <x:v>13</x:v>
      </x:c>
      <x:c r="F65" s="6" t="str"/>
      <x:c r="G65" s="6" t="str"/>
      <x:c r="H65" s="6" t="str">
        <x:v>-K205:13</x:v>
      </x:c>
      <x:c r="I65" s="6" t="str"/>
      <x:c r="J65" s="6" t="str">
        <x:v>W0064</x:v>
      </x:c>
      <x:c r="K65" s="6" t="str">
        <x:v>-K205</x:v>
      </x:c>
      <x:c r="L65" s="6" t="str">
        <x:v>-A103</x:v>
      </x:c>
      <x:c r="M65" s="6" t="str">
        <x:v>=FC01+CP01-A103</x:v>
      </x:c>
      <x:c r="N65" s="6" t="str">
        <x:v>5</x:v>
      </x:c>
      <x:c r="O65" s="6" t="str">
        <x:v>Q0.5</x:v>
      </x:c>
      <x:c r="P65" s="6" t="str">
        <x:v>+24VDC fused</x:v>
      </x:c>
      <x:c r="Q65" s="6" t="str"/>
      <x:c r="R65" s="6" t="str"/>
      <x:c r="S65" s="6" t="str"/>
      <x:c r="T65" s="6" t="str">
        <x:v>RD</x:v>
      </x:c>
      <x:c r="U65" s="6" t="str">
        <x:v>=FC01+CP01-X24:+24V</x:v>
      </x:c>
      <x:c r="V65" s="6" t="str">
        <x:v>Controlled Rev-D topology; conductor size/terminal family and native QET continuity verification remain open</x:v>
      </x:c>
    </x:row>
    <x:row r="66" ht="27" customHeight="1">
      <x:c r="A66" s="6" t="str">
        <x:v>GATE_CLOSE_CMD</x:v>
      </x:c>
      <x:c r="B66" s="6" t="str">
        <x:v>Relay contact 14 to field load</x:v>
      </x:c>
      <x:c r="C66" s="6" t="str">
        <x:v>-YV100</x:v>
      </x:c>
      <x:c r="D66" s="6" t="str">
        <x:v>=FC01+FLD-YV100</x:v>
      </x:c>
      <x:c r="E66" s="6" t="str">
        <x:v>3</x:v>
      </x:c>
      <x:c r="F66" s="6" t="str">
        <x:v>C017</x:v>
      </x:c>
      <x:c r="G66" s="6" t="str">
        <x:v>3</x:v>
      </x:c>
      <x:c r="H66" s="6" t="str">
        <x:v>-YV100:3</x:v>
      </x:c>
      <x:c r="I66" s="6" t="str">
        <x:v>X102:3</x:v>
      </x:c>
      <x:c r="J66" s="6" t="str">
        <x:v>W0065</x:v>
      </x:c>
      <x:c r="K66" s="6" t="str">
        <x:v>-K205</x:v>
      </x:c>
      <x:c r="L66" s="6" t="str">
        <x:v>-A103</x:v>
      </x:c>
      <x:c r="M66" s="6" t="str">
        <x:v>=FC01+CP01-A103</x:v>
      </x:c>
      <x:c r="N66" s="6" t="str">
        <x:v>5</x:v>
      </x:c>
      <x:c r="O66" s="6" t="str">
        <x:v>Q0.5</x:v>
      </x:c>
      <x:c r="P66" s="6" t="str">
        <x:v>+24VDC switched</x:v>
      </x:c>
      <x:c r="Q66" s="6" t="str"/>
      <x:c r="R66" s="6" t="str"/>
      <x:c r="S66" s="6" t="str"/>
      <x:c r="T66" s="6" t="str">
        <x:v>BK</x:v>
      </x:c>
      <x:c r="U66" s="6" t="str">
        <x:v>=FC01+CP01-K205:14</x:v>
      </x:c>
      <x:c r="V66" s="6" t="str">
        <x:v>Controlled Rev-D topology; conductor size/terminal family and native QET continuity verification remain open</x:v>
      </x:c>
    </x:row>
    <x:row r="67" ht="27" customHeight="1">
      <x:c r="A67" s="6" t="str">
        <x:v>GATE_CLOSE_CMD</x:v>
      </x:c>
      <x:c r="B67" s="6" t="str">
        <x:v>Field load return</x:v>
      </x:c>
      <x:c r="C67" s="6" t="str">
        <x:v>-YV100</x:v>
      </x:c>
      <x:c r="D67" s="6" t="str">
        <x:v>=FC01+FLD-YV100</x:v>
      </x:c>
      <x:c r="E67" s="6" t="str">
        <x:v>4</x:v>
      </x:c>
      <x:c r="F67" s="6" t="str">
        <x:v>C017</x:v>
      </x:c>
      <x:c r="G67" s="6" t="str">
        <x:v>4</x:v>
      </x:c>
      <x:c r="H67" s="6" t="str">
        <x:v>-YV100:4</x:v>
      </x:c>
      <x:c r="I67" s="6" t="str">
        <x:v>X102:4</x:v>
      </x:c>
      <x:c r="J67" s="6" t="str">
        <x:v>W0066</x:v>
      </x:c>
      <x:c r="K67" s="6" t="str">
        <x:v>-K205</x:v>
      </x:c>
      <x:c r="L67" s="6" t="str">
        <x:v>-A103</x:v>
      </x:c>
      <x:c r="M67" s="6" t="str">
        <x:v>=FC01+CP01-A103</x:v>
      </x:c>
      <x:c r="N67" s="6" t="str">
        <x:v>5</x:v>
      </x:c>
      <x:c r="O67" s="6" t="str">
        <x:v>Q0.5</x:v>
      </x:c>
      <x:c r="P67" s="6" t="str">
        <x:v>0V</x:v>
      </x:c>
      <x:c r="Q67" s="6" t="str">
        <x:v>X0:0V</x:v>
      </x:c>
      <x:c r="R67" s="6" t="str"/>
      <x:c r="S67" s="6" t="str"/>
      <x:c r="T67" s="6" t="str">
        <x:v>BU</x:v>
      </x:c>
      <x:c r="U67" s="6" t="str">
        <x:v>=FC01+CP01-X0:0V</x:v>
      </x:c>
      <x:c r="V67" s="6" t="str">
        <x:v>Controlled Rev-D topology; conductor size/terminal family and native QET continuity verification remain open</x:v>
      </x:c>
    </x:row>
    <x:row r="68" ht="27" customHeight="1">
      <x:c r="A68" s="6" t="str">
        <x:v>CLAMP_ENGAGE_CMD</x:v>
      </x:c>
      <x:c r="B68" s="6" t="str">
        <x:v>PLC output to relay coil</x:v>
      </x:c>
      <x:c r="C68" s="6" t="str">
        <x:v>-K206</x:v>
      </x:c>
      <x:c r="D68" s="6" t="str">
        <x:v>=FC01+CP01-K206</x:v>
      </x:c>
      <x:c r="E68" s="6" t="str">
        <x:v>A1</x:v>
      </x:c>
      <x:c r="F68" s="6" t="str"/>
      <x:c r="G68" s="6" t="str"/>
      <x:c r="H68" s="6" t="str">
        <x:v>-K206:A1</x:v>
      </x:c>
      <x:c r="I68" s="6" t="str"/>
      <x:c r="J68" s="6" t="str">
        <x:v>W0067</x:v>
      </x:c>
      <x:c r="K68" s="6" t="str">
        <x:v>-K206</x:v>
      </x:c>
      <x:c r="L68" s="6" t="str">
        <x:v>-A103</x:v>
      </x:c>
      <x:c r="M68" s="6" t="str">
        <x:v>=FC01+CP01-A103</x:v>
      </x:c>
      <x:c r="N68" s="6" t="str">
        <x:v>6</x:v>
      </x:c>
      <x:c r="O68" s="6" t="str">
        <x:v>Q0.6</x:v>
      </x:c>
      <x:c r="P68" s="6" t="str">
        <x:v>24 VDC switched</x:v>
      </x:c>
      <x:c r="Q68" s="6" t="str"/>
      <x:c r="R68" s="6" t="str"/>
      <x:c r="S68" s="6" t="str"/>
      <x:c r="T68" s="6" t="str">
        <x:v>BK</x:v>
      </x:c>
      <x:c r="U68" s="6" t="str">
        <x:v>=FC01+CP01-A103:6</x:v>
      </x:c>
      <x:c r="V68" s="6" t="str">
        <x:v>Controlled Rev-D topology; conductor size/terminal family and native QET continuity verification remain open</x:v>
      </x:c>
    </x:row>
    <x:row r="69" ht="27" customHeight="1">
      <x:c r="A69" s="6" t="str">
        <x:v>CLAMP_ENGAGE_CMD</x:v>
      </x:c>
      <x:c r="B69" s="6" t="str">
        <x:v>Relay coil return</x:v>
      </x:c>
      <x:c r="C69" s="6" t="str">
        <x:v>-K206</x:v>
      </x:c>
      <x:c r="D69" s="6" t="str">
        <x:v>=FC01+CP01-K206</x:v>
      </x:c>
      <x:c r="E69" s="6" t="str">
        <x:v>A2</x:v>
      </x:c>
      <x:c r="F69" s="6" t="str"/>
      <x:c r="G69" s="6" t="str"/>
      <x:c r="H69" s="6" t="str">
        <x:v>-K206:A2</x:v>
      </x:c>
      <x:c r="I69" s="6" t="str"/>
      <x:c r="J69" s="6" t="str">
        <x:v>W0068</x:v>
      </x:c>
      <x:c r="K69" s="6" t="str">
        <x:v>-K206</x:v>
      </x:c>
      <x:c r="L69" s="6" t="str">
        <x:v>-A103</x:v>
      </x:c>
      <x:c r="M69" s="6" t="str">
        <x:v>=FC01+CP01-A103</x:v>
      </x:c>
      <x:c r="N69" s="6" t="str">
        <x:v>6</x:v>
      </x:c>
      <x:c r="O69" s="6" t="str">
        <x:v>Q0.6</x:v>
      </x:c>
      <x:c r="P69" s="6" t="str">
        <x:v>0V</x:v>
      </x:c>
      <x:c r="Q69" s="6" t="str">
        <x:v>X0:0V</x:v>
      </x:c>
      <x:c r="R69" s="6" t="str"/>
      <x:c r="S69" s="6" t="str"/>
      <x:c r="T69" s="6" t="str">
        <x:v>BU</x:v>
      </x:c>
      <x:c r="U69" s="6" t="str">
        <x:v>=FC01+CP01-X0:0V</x:v>
      </x:c>
      <x:c r="V69" s="6" t="str">
        <x:v>Controlled Rev-D topology; conductor size/terminal family and native QET continuity verification remain open</x:v>
      </x:c>
    </x:row>
    <x:row r="70" ht="27" customHeight="1">
      <x:c r="A70" s="6" t="str">
        <x:v>CLAMP_ENGAGE_CMD</x:v>
      </x:c>
      <x:c r="B70" s="6" t="str">
        <x:v>Relay contact supply</x:v>
      </x:c>
      <x:c r="C70" s="6" t="str">
        <x:v>-K206</x:v>
      </x:c>
      <x:c r="D70" s="6" t="str">
        <x:v>=FC01+CP01-K206</x:v>
      </x:c>
      <x:c r="E70" s="6" t="str">
        <x:v>13</x:v>
      </x:c>
      <x:c r="F70" s="6" t="str"/>
      <x:c r="G70" s="6" t="str"/>
      <x:c r="H70" s="6" t="str">
        <x:v>-K206:13</x:v>
      </x:c>
      <x:c r="I70" s="6" t="str"/>
      <x:c r="J70" s="6" t="str">
        <x:v>W0069</x:v>
      </x:c>
      <x:c r="K70" s="6" t="str">
        <x:v>-K206</x:v>
      </x:c>
      <x:c r="L70" s="6" t="str">
        <x:v>-A103</x:v>
      </x:c>
      <x:c r="M70" s="6" t="str">
        <x:v>=FC01+CP01-A103</x:v>
      </x:c>
      <x:c r="N70" s="6" t="str">
        <x:v>6</x:v>
      </x:c>
      <x:c r="O70" s="6" t="str">
        <x:v>Q0.6</x:v>
      </x:c>
      <x:c r="P70" s="6" t="str">
        <x:v>+24VDC fused</x:v>
      </x:c>
      <x:c r="Q70" s="6" t="str"/>
      <x:c r="R70" s="6" t="str"/>
      <x:c r="S70" s="6" t="str"/>
      <x:c r="T70" s="6" t="str">
        <x:v>RD</x:v>
      </x:c>
      <x:c r="U70" s="6" t="str">
        <x:v>=FC01+CP01-X24:+24V</x:v>
      </x:c>
      <x:c r="V70" s="6" t="str">
        <x:v>Controlled Rev-D topology; conductor size/terminal family and native QET continuity verification remain open</x:v>
      </x:c>
    </x:row>
    <x:row r="71" ht="27" customHeight="1">
      <x:c r="A71" s="6" t="str">
        <x:v>CLAMP_ENGAGE_CMD</x:v>
      </x:c>
      <x:c r="B71" s="6" t="str">
        <x:v>Relay contact 14 to field load</x:v>
      </x:c>
      <x:c r="C71" s="6" t="str">
        <x:v>-YV101</x:v>
      </x:c>
      <x:c r="D71" s="6" t="str">
        <x:v>=FC01+FLD-YV101</x:v>
      </x:c>
      <x:c r="E71" s="6" t="str">
        <x:v>1</x:v>
      </x:c>
      <x:c r="F71" s="6" t="str">
        <x:v>C018</x:v>
      </x:c>
      <x:c r="G71" s="6" t="str">
        <x:v>1</x:v>
      </x:c>
      <x:c r="H71" s="6" t="str">
        <x:v>-YV101:1</x:v>
      </x:c>
      <x:c r="I71" s="6" t="str">
        <x:v>X102:5</x:v>
      </x:c>
      <x:c r="J71" s="6" t="str">
        <x:v>W0070</x:v>
      </x:c>
      <x:c r="K71" s="6" t="str">
        <x:v>-K206</x:v>
      </x:c>
      <x:c r="L71" s="6" t="str">
        <x:v>-A103</x:v>
      </x:c>
      <x:c r="M71" s="6" t="str">
        <x:v>=FC01+CP01-A103</x:v>
      </x:c>
      <x:c r="N71" s="6" t="str">
        <x:v>6</x:v>
      </x:c>
      <x:c r="O71" s="6" t="str">
        <x:v>Q0.6</x:v>
      </x:c>
      <x:c r="P71" s="6" t="str">
        <x:v>+24VDC switched</x:v>
      </x:c>
      <x:c r="Q71" s="6" t="str"/>
      <x:c r="R71" s="6" t="str"/>
      <x:c r="S71" s="6" t="str"/>
      <x:c r="T71" s="6" t="str">
        <x:v>BK</x:v>
      </x:c>
      <x:c r="U71" s="6" t="str">
        <x:v>=FC01+CP01-K206:14</x:v>
      </x:c>
      <x:c r="V71" s="6" t="str">
        <x:v>Controlled Rev-D topology; conductor size/terminal family and native QET continuity verification remain open</x:v>
      </x:c>
    </x:row>
    <x:row r="72" ht="27" customHeight="1">
      <x:c r="A72" s="6" t="str">
        <x:v>CLAMP_ENGAGE_CMD</x:v>
      </x:c>
      <x:c r="B72" s="6" t="str">
        <x:v>Field load return</x:v>
      </x:c>
      <x:c r="C72" s="6" t="str">
        <x:v>-YV101</x:v>
      </x:c>
      <x:c r="D72" s="6" t="str">
        <x:v>=FC01+FLD-YV101</x:v>
      </x:c>
      <x:c r="E72" s="6" t="str">
        <x:v>2</x:v>
      </x:c>
      <x:c r="F72" s="6" t="str">
        <x:v>C018</x:v>
      </x:c>
      <x:c r="G72" s="6" t="str">
        <x:v>2</x:v>
      </x:c>
      <x:c r="H72" s="6" t="str">
        <x:v>-YV101:2</x:v>
      </x:c>
      <x:c r="I72" s="6" t="str">
        <x:v>X102:6</x:v>
      </x:c>
      <x:c r="J72" s="6" t="str">
        <x:v>W0071</x:v>
      </x:c>
      <x:c r="K72" s="6" t="str">
        <x:v>-K206</x:v>
      </x:c>
      <x:c r="L72" s="6" t="str">
        <x:v>-A103</x:v>
      </x:c>
      <x:c r="M72" s="6" t="str">
        <x:v>=FC01+CP01-A103</x:v>
      </x:c>
      <x:c r="N72" s="6" t="str">
        <x:v>6</x:v>
      </x:c>
      <x:c r="O72" s="6" t="str">
        <x:v>Q0.6</x:v>
      </x:c>
      <x:c r="P72" s="6" t="str">
        <x:v>0V</x:v>
      </x:c>
      <x:c r="Q72" s="6" t="str">
        <x:v>X0:0V</x:v>
      </x:c>
      <x:c r="R72" s="6" t="str"/>
      <x:c r="S72" s="6" t="str"/>
      <x:c r="T72" s="6" t="str">
        <x:v>BU</x:v>
      </x:c>
      <x:c r="U72" s="6" t="str">
        <x:v>=FC01+CP01-X0:0V</x:v>
      </x:c>
      <x:c r="V72" s="6" t="str">
        <x:v>Controlled Rev-D topology; conductor size/terminal family and native QET continuity verification remain open</x:v>
      </x:c>
    </x:row>
    <x:row r="73" ht="27" customHeight="1">
      <x:c r="A73" s="6" t="str">
        <x:v>CLAMP_RELEASE_CMD</x:v>
      </x:c>
      <x:c r="B73" s="6" t="str">
        <x:v>PLC output to relay coil</x:v>
      </x:c>
      <x:c r="C73" s="6" t="str">
        <x:v>-K207</x:v>
      </x:c>
      <x:c r="D73" s="6" t="str">
        <x:v>=FC01+CP01-K207</x:v>
      </x:c>
      <x:c r="E73" s="6" t="str">
        <x:v>A1</x:v>
      </x:c>
      <x:c r="F73" s="6" t="str"/>
      <x:c r="G73" s="6" t="str"/>
      <x:c r="H73" s="6" t="str">
        <x:v>-K207:A1</x:v>
      </x:c>
      <x:c r="I73" s="6" t="str"/>
      <x:c r="J73" s="6" t="str">
        <x:v>W0072</x:v>
      </x:c>
      <x:c r="K73" s="6" t="str">
        <x:v>-K207</x:v>
      </x:c>
      <x:c r="L73" s="6" t="str">
        <x:v>-A103</x:v>
      </x:c>
      <x:c r="M73" s="6" t="str">
        <x:v>=FC01+CP01-A103</x:v>
      </x:c>
      <x:c r="N73" s="6" t="str">
        <x:v>7</x:v>
      </x:c>
      <x:c r="O73" s="6" t="str">
        <x:v>Q0.7</x:v>
      </x:c>
      <x:c r="P73" s="6" t="str">
        <x:v>24 VDC switched</x:v>
      </x:c>
      <x:c r="Q73" s="6" t="str"/>
      <x:c r="R73" s="6" t="str"/>
      <x:c r="S73" s="6" t="str"/>
      <x:c r="T73" s="6" t="str">
        <x:v>BK</x:v>
      </x:c>
      <x:c r="U73" s="6" t="str">
        <x:v>=FC01+CP01-A103:7</x:v>
      </x:c>
      <x:c r="V73" s="6" t="str">
        <x:v>Controlled Rev-D topology; conductor size/terminal family and native QET continuity verification remain open</x:v>
      </x:c>
    </x:row>
    <x:row r="74" ht="27" customHeight="1">
      <x:c r="A74" s="6" t="str">
        <x:v>CLAMP_RELEASE_CMD</x:v>
      </x:c>
      <x:c r="B74" s="6" t="str">
        <x:v>Relay coil return</x:v>
      </x:c>
      <x:c r="C74" s="6" t="str">
        <x:v>-K207</x:v>
      </x:c>
      <x:c r="D74" s="6" t="str">
        <x:v>=FC01+CP01-K207</x:v>
      </x:c>
      <x:c r="E74" s="6" t="str">
        <x:v>A2</x:v>
      </x:c>
      <x:c r="F74" s="6" t="str"/>
      <x:c r="G74" s="6" t="str"/>
      <x:c r="H74" s="6" t="str">
        <x:v>-K207:A2</x:v>
      </x:c>
      <x:c r="I74" s="6" t="str"/>
      <x:c r="J74" s="6" t="str">
        <x:v>W0073</x:v>
      </x:c>
      <x:c r="K74" s="6" t="str">
        <x:v>-K207</x:v>
      </x:c>
      <x:c r="L74" s="6" t="str">
        <x:v>-A103</x:v>
      </x:c>
      <x:c r="M74" s="6" t="str">
        <x:v>=FC01+CP01-A103</x:v>
      </x:c>
      <x:c r="N74" s="6" t="str">
        <x:v>7</x:v>
      </x:c>
      <x:c r="O74" s="6" t="str">
        <x:v>Q0.7</x:v>
      </x:c>
      <x:c r="P74" s="6" t="str">
        <x:v>0V</x:v>
      </x:c>
      <x:c r="Q74" s="6" t="str">
        <x:v>X0:0V</x:v>
      </x:c>
      <x:c r="R74" s="6" t="str"/>
      <x:c r="S74" s="6" t="str"/>
      <x:c r="T74" s="6" t="str">
        <x:v>BU</x:v>
      </x:c>
      <x:c r="U74" s="6" t="str">
        <x:v>=FC01+CP01-X0:0V</x:v>
      </x:c>
      <x:c r="V74" s="6" t="str">
        <x:v>Controlled Rev-D topology; conductor size/terminal family and native QET continuity verification remain open</x:v>
      </x:c>
    </x:row>
    <x:row r="75" ht="27" customHeight="1">
      <x:c r="A75" s="6" t="str">
        <x:v>CLAMP_RELEASE_CMD</x:v>
      </x:c>
      <x:c r="B75" s="6" t="str">
        <x:v>Relay contact supply</x:v>
      </x:c>
      <x:c r="C75" s="6" t="str">
        <x:v>-K207</x:v>
      </x:c>
      <x:c r="D75" s="6" t="str">
        <x:v>=FC01+CP01-K207</x:v>
      </x:c>
      <x:c r="E75" s="6" t="str">
        <x:v>13</x:v>
      </x:c>
      <x:c r="F75" s="6" t="str"/>
      <x:c r="G75" s="6" t="str"/>
      <x:c r="H75" s="6" t="str">
        <x:v>-K207:13</x:v>
      </x:c>
      <x:c r="I75" s="6" t="str"/>
      <x:c r="J75" s="6" t="str">
        <x:v>W0074</x:v>
      </x:c>
      <x:c r="K75" s="6" t="str">
        <x:v>-K207</x:v>
      </x:c>
      <x:c r="L75" s="6" t="str">
        <x:v>-A103</x:v>
      </x:c>
      <x:c r="M75" s="6" t="str">
        <x:v>=FC01+CP01-A103</x:v>
      </x:c>
      <x:c r="N75" s="6" t="str">
        <x:v>7</x:v>
      </x:c>
      <x:c r="O75" s="6" t="str">
        <x:v>Q0.7</x:v>
      </x:c>
      <x:c r="P75" s="6" t="str">
        <x:v>+24VDC fused</x:v>
      </x:c>
      <x:c r="Q75" s="6" t="str"/>
      <x:c r="R75" s="6" t="str"/>
      <x:c r="S75" s="6" t="str"/>
      <x:c r="T75" s="6" t="str">
        <x:v>RD</x:v>
      </x:c>
      <x:c r="U75" s="6" t="str">
        <x:v>=FC01+CP01-X24:+24V</x:v>
      </x:c>
      <x:c r="V75" s="6" t="str">
        <x:v>Controlled Rev-D topology; conductor size/terminal family and native QET continuity verification remain open</x:v>
      </x:c>
    </x:row>
    <x:row r="76" ht="27" customHeight="1">
      <x:c r="A76" s="6" t="str">
        <x:v>CLAMP_RELEASE_CMD</x:v>
      </x:c>
      <x:c r="B76" s="6" t="str">
        <x:v>Relay contact 14 to field load</x:v>
      </x:c>
      <x:c r="C76" s="6" t="str">
        <x:v>-YV101</x:v>
      </x:c>
      <x:c r="D76" s="6" t="str">
        <x:v>=FC01+FLD-YV101</x:v>
      </x:c>
      <x:c r="E76" s="6" t="str">
        <x:v>3</x:v>
      </x:c>
      <x:c r="F76" s="6" t="str">
        <x:v>C018</x:v>
      </x:c>
      <x:c r="G76" s="6" t="str">
        <x:v>3</x:v>
      </x:c>
      <x:c r="H76" s="6" t="str">
        <x:v>-YV101:3</x:v>
      </x:c>
      <x:c r="I76" s="6" t="str">
        <x:v>X102:7</x:v>
      </x:c>
      <x:c r="J76" s="6" t="str">
        <x:v>W0075</x:v>
      </x:c>
      <x:c r="K76" s="6" t="str">
        <x:v>-K207</x:v>
      </x:c>
      <x:c r="L76" s="6" t="str">
        <x:v>-A103</x:v>
      </x:c>
      <x:c r="M76" s="6" t="str">
        <x:v>=FC01+CP01-A103</x:v>
      </x:c>
      <x:c r="N76" s="6" t="str">
        <x:v>7</x:v>
      </x:c>
      <x:c r="O76" s="6" t="str">
        <x:v>Q0.7</x:v>
      </x:c>
      <x:c r="P76" s="6" t="str">
        <x:v>+24VDC switched</x:v>
      </x:c>
      <x:c r="Q76" s="6" t="str"/>
      <x:c r="R76" s="6" t="str"/>
      <x:c r="S76" s="6" t="str"/>
      <x:c r="T76" s="6" t="str">
        <x:v>BK</x:v>
      </x:c>
      <x:c r="U76" s="6" t="str">
        <x:v>=FC01+CP01-K207:14</x:v>
      </x:c>
      <x:c r="V76" s="6" t="str">
        <x:v>Controlled Rev-D topology; conductor size/terminal family and native QET continuity verification remain open</x:v>
      </x:c>
    </x:row>
    <x:row r="77" ht="27" customHeight="1">
      <x:c r="A77" s="6" t="str">
        <x:v>CLAMP_RELEASE_CMD</x:v>
      </x:c>
      <x:c r="B77" s="6" t="str">
        <x:v>Field load return</x:v>
      </x:c>
      <x:c r="C77" s="6" t="str">
        <x:v>-YV101</x:v>
      </x:c>
      <x:c r="D77" s="6" t="str">
        <x:v>=FC01+FLD-YV101</x:v>
      </x:c>
      <x:c r="E77" s="6" t="str">
        <x:v>4</x:v>
      </x:c>
      <x:c r="F77" s="6" t="str">
        <x:v>C018</x:v>
      </x:c>
      <x:c r="G77" s="6" t="str">
        <x:v>4</x:v>
      </x:c>
      <x:c r="H77" s="6" t="str">
        <x:v>-YV101:4</x:v>
      </x:c>
      <x:c r="I77" s="6" t="str">
        <x:v>X102:8</x:v>
      </x:c>
      <x:c r="J77" s="6" t="str">
        <x:v>W0076</x:v>
      </x:c>
      <x:c r="K77" s="6" t="str">
        <x:v>-K207</x:v>
      </x:c>
      <x:c r="L77" s="6" t="str">
        <x:v>-A103</x:v>
      </x:c>
      <x:c r="M77" s="6" t="str">
        <x:v>=FC01+CP01-A103</x:v>
      </x:c>
      <x:c r="N77" s="6" t="str">
        <x:v>7</x:v>
      </x:c>
      <x:c r="O77" s="6" t="str">
        <x:v>Q0.7</x:v>
      </x:c>
      <x:c r="P77" s="6" t="str">
        <x:v>0V</x:v>
      </x:c>
      <x:c r="Q77" s="6" t="str">
        <x:v>X0:0V</x:v>
      </x:c>
      <x:c r="R77" s="6" t="str"/>
      <x:c r="S77" s="6" t="str"/>
      <x:c r="T77" s="6" t="str">
        <x:v>BU</x:v>
      </x:c>
      <x:c r="U77" s="6" t="str">
        <x:v>=FC01+CP01-X0:0V</x:v>
      </x:c>
      <x:c r="V77" s="6" t="str">
        <x:v>Controlled Rev-D topology; conductor size/terminal family and native QET continuity verification remain open</x:v>
      </x:c>
    </x:row>
    <x:row r="78" ht="27" customHeight="1">
      <x:c r="A78" s="6" t="str">
        <x:v>CAPPER_REQUEST</x:v>
      </x:c>
      <x:c r="B78" s="6" t="str">
        <x:v>PLC output to relay coil</x:v>
      </x:c>
      <x:c r="C78" s="6" t="str">
        <x:v>-K208</x:v>
      </x:c>
      <x:c r="D78" s="6" t="str">
        <x:v>=FC01+CP01-K208</x:v>
      </x:c>
      <x:c r="E78" s="6" t="str">
        <x:v>A1</x:v>
      </x:c>
      <x:c r="F78" s="6" t="str"/>
      <x:c r="G78" s="6" t="str"/>
      <x:c r="H78" s="6" t="str">
        <x:v>-K208:A1</x:v>
      </x:c>
      <x:c r="I78" s="6" t="str"/>
      <x:c r="J78" s="6" t="str">
        <x:v>W0077</x:v>
      </x:c>
      <x:c r="K78" s="6" t="str">
        <x:v>-K208</x:v>
      </x:c>
      <x:c r="L78" s="6" t="str">
        <x:v>-A103</x:v>
      </x:c>
      <x:c r="M78" s="6" t="str">
        <x:v>=FC01+CP01-A103</x:v>
      </x:c>
      <x:c r="N78" s="6" t="str">
        <x:v>8</x:v>
      </x:c>
      <x:c r="O78" s="6" t="str">
        <x:v>Q1.0</x:v>
      </x:c>
      <x:c r="P78" s="6" t="str">
        <x:v>24 VDC switched</x:v>
      </x:c>
      <x:c r="Q78" s="6" t="str"/>
      <x:c r="R78" s="6" t="str"/>
      <x:c r="S78" s="6" t="str"/>
      <x:c r="T78" s="6" t="str">
        <x:v>BK</x:v>
      </x:c>
      <x:c r="U78" s="6" t="str">
        <x:v>=FC01+CP01-A103:8</x:v>
      </x:c>
      <x:c r="V78" s="6" t="str">
        <x:v>Controlled Rev-D topology; conductor size/terminal family and native QET continuity verification remain open</x:v>
      </x:c>
    </x:row>
    <x:row r="79" ht="27" customHeight="1">
      <x:c r="A79" s="6" t="str">
        <x:v>CAPPER_REQUEST</x:v>
      </x:c>
      <x:c r="B79" s="6" t="str">
        <x:v>Relay coil return</x:v>
      </x:c>
      <x:c r="C79" s="6" t="str">
        <x:v>-K208</x:v>
      </x:c>
      <x:c r="D79" s="6" t="str">
        <x:v>=FC01+CP01-K208</x:v>
      </x:c>
      <x:c r="E79" s="6" t="str">
        <x:v>A2</x:v>
      </x:c>
      <x:c r="F79" s="6" t="str"/>
      <x:c r="G79" s="6" t="str"/>
      <x:c r="H79" s="6" t="str">
        <x:v>-K208:A2</x:v>
      </x:c>
      <x:c r="I79" s="6" t="str"/>
      <x:c r="J79" s="6" t="str">
        <x:v>W0078</x:v>
      </x:c>
      <x:c r="K79" s="6" t="str">
        <x:v>-K208</x:v>
      </x:c>
      <x:c r="L79" s="6" t="str">
        <x:v>-A103</x:v>
      </x:c>
      <x:c r="M79" s="6" t="str">
        <x:v>=FC01+CP01-A103</x:v>
      </x:c>
      <x:c r="N79" s="6" t="str">
        <x:v>8</x:v>
      </x:c>
      <x:c r="O79" s="6" t="str">
        <x:v>Q1.0</x:v>
      </x:c>
      <x:c r="P79" s="6" t="str">
        <x:v>0V</x:v>
      </x:c>
      <x:c r="Q79" s="6" t="str">
        <x:v>X0:0V</x:v>
      </x:c>
      <x:c r="R79" s="6" t="str"/>
      <x:c r="S79" s="6" t="str"/>
      <x:c r="T79" s="6" t="str">
        <x:v>BU</x:v>
      </x:c>
      <x:c r="U79" s="6" t="str">
        <x:v>=FC01+CP01-X0:0V</x:v>
      </x:c>
      <x:c r="V79" s="6" t="str">
        <x:v>Controlled Rev-D topology; conductor size/terminal family and native QET continuity verification remain open</x:v>
      </x:c>
    </x:row>
    <x:row r="80" ht="27" customHeight="1">
      <x:c r="A80" s="6" t="str">
        <x:v>CAPPER_REQUEST</x:v>
      </x:c>
      <x:c r="B80" s="6" t="str">
        <x:v>Relay contact supply</x:v>
      </x:c>
      <x:c r="C80" s="6" t="str">
        <x:v>-K208</x:v>
      </x:c>
      <x:c r="D80" s="6" t="str">
        <x:v>=FC01+CP01-K208</x:v>
      </x:c>
      <x:c r="E80" s="6" t="str">
        <x:v>13</x:v>
      </x:c>
      <x:c r="F80" s="6" t="str"/>
      <x:c r="G80" s="6" t="str"/>
      <x:c r="H80" s="6" t="str">
        <x:v>-K208:13</x:v>
      </x:c>
      <x:c r="I80" s="6" t="str"/>
      <x:c r="J80" s="6" t="str">
        <x:v>W0079</x:v>
      </x:c>
      <x:c r="K80" s="6" t="str">
        <x:v>-K208</x:v>
      </x:c>
      <x:c r="L80" s="6" t="str">
        <x:v>-A103</x:v>
      </x:c>
      <x:c r="M80" s="6" t="str">
        <x:v>=FC01+CP01-A103</x:v>
      </x:c>
      <x:c r="N80" s="6" t="str">
        <x:v>8</x:v>
      </x:c>
      <x:c r="O80" s="6" t="str">
        <x:v>Q1.0</x:v>
      </x:c>
      <x:c r="P80" s="6" t="str">
        <x:v>+24VDC fused</x:v>
      </x:c>
      <x:c r="Q80" s="6" t="str"/>
      <x:c r="R80" s="6" t="str"/>
      <x:c r="S80" s="6" t="str"/>
      <x:c r="T80" s="6" t="str">
        <x:v>RD</x:v>
      </x:c>
      <x:c r="U80" s="6" t="str">
        <x:v>=FC01+CP01-X24:+24V</x:v>
      </x:c>
      <x:c r="V80" s="6" t="str">
        <x:v>Controlled Rev-D topology; conductor size/terminal family and native QET continuity verification remain open</x:v>
      </x:c>
    </x:row>
    <x:row r="81" ht="27" customHeight="1">
      <x:c r="A81" s="6" t="str">
        <x:v>CAPPER_REQUEST</x:v>
      </x:c>
      <x:c r="B81" s="6" t="str">
        <x:v>Relay contact 14 to field load</x:v>
      </x:c>
      <x:c r="C81" s="6" t="str">
        <x:v>-IF140</x:v>
      </x:c>
      <x:c r="D81" s="6" t="str">
        <x:v>=FC01+FLD-IF140</x:v>
      </x:c>
      <x:c r="E81" s="6" t="str">
        <x:v>8</x:v>
      </x:c>
      <x:c r="F81" s="6" t="str">
        <x:v>C012</x:v>
      </x:c>
      <x:c r="G81" s="6" t="str">
        <x:v>7</x:v>
      </x:c>
      <x:c r="H81" s="6" t="str">
        <x:v>-IF140:8</x:v>
      </x:c>
      <x:c r="I81" s="6" t="str">
        <x:v>X102:9</x:v>
      </x:c>
      <x:c r="J81" s="6" t="str">
        <x:v>W0080</x:v>
      </x:c>
      <x:c r="K81" s="6" t="str">
        <x:v>-K208</x:v>
      </x:c>
      <x:c r="L81" s="6" t="str">
        <x:v>-A103</x:v>
      </x:c>
      <x:c r="M81" s="6" t="str">
        <x:v>=FC01+CP01-A103</x:v>
      </x:c>
      <x:c r="N81" s="6" t="str">
        <x:v>8</x:v>
      </x:c>
      <x:c r="O81" s="6" t="str">
        <x:v>Q1.0</x:v>
      </x:c>
      <x:c r="P81" s="6" t="str">
        <x:v>+24VDC switched</x:v>
      </x:c>
      <x:c r="Q81" s="6" t="str"/>
      <x:c r="R81" s="6" t="str"/>
      <x:c r="S81" s="6" t="str"/>
      <x:c r="T81" s="6" t="str">
        <x:v>BK</x:v>
      </x:c>
      <x:c r="U81" s="6" t="str">
        <x:v>=FC01+CP01-K208:14</x:v>
      </x:c>
      <x:c r="V81" s="6" t="str">
        <x:v>Controlled Rev-D topology; conductor size/terminal family and native QET continuity verification remain open</x:v>
      </x:c>
    </x:row>
    <x:row r="82" ht="27" customHeight="1">
      <x:c r="A82" s="6" t="str">
        <x:v>CAPPER_REQUEST</x:v>
      </x:c>
      <x:c r="B82" s="6" t="str">
        <x:v>Field load return</x:v>
      </x:c>
      <x:c r="C82" s="6" t="str">
        <x:v>-IF140</x:v>
      </x:c>
      <x:c r="D82" s="6" t="str">
        <x:v>=FC01+FLD-IF140</x:v>
      </x:c>
      <x:c r="E82" s="6" t="str">
        <x:v>9</x:v>
      </x:c>
      <x:c r="F82" s="6" t="str">
        <x:v>C012</x:v>
      </x:c>
      <x:c r="G82" s="6" t="str">
        <x:v>8</x:v>
      </x:c>
      <x:c r="H82" s="6" t="str">
        <x:v>-IF140:9</x:v>
      </x:c>
      <x:c r="I82" s="6" t="str">
        <x:v>X102:10</x:v>
      </x:c>
      <x:c r="J82" s="6" t="str">
        <x:v>W0081</x:v>
      </x:c>
      <x:c r="K82" s="6" t="str">
        <x:v>-K208</x:v>
      </x:c>
      <x:c r="L82" s="6" t="str">
        <x:v>-A103</x:v>
      </x:c>
      <x:c r="M82" s="6" t="str">
        <x:v>=FC01+CP01-A103</x:v>
      </x:c>
      <x:c r="N82" s="6" t="str">
        <x:v>8</x:v>
      </x:c>
      <x:c r="O82" s="6" t="str">
        <x:v>Q1.0</x:v>
      </x:c>
      <x:c r="P82" s="6" t="str">
        <x:v>0V</x:v>
      </x:c>
      <x:c r="Q82" s="6" t="str">
        <x:v>X0:0V</x:v>
      </x:c>
      <x:c r="R82" s="6" t="str"/>
      <x:c r="S82" s="6" t="str"/>
      <x:c r="T82" s="6" t="str">
        <x:v>BU</x:v>
      </x:c>
      <x:c r="U82" s="6" t="str">
        <x:v>=FC01+CP01-X0:0V</x:v>
      </x:c>
      <x:c r="V82" s="6" t="str">
        <x:v>Controlled Rev-D topology; conductor size/terminal family and native QET continuity verification remain open</x:v>
      </x:c>
    </x:row>
    <x:row r="83" ht="27" customHeight="1">
      <x:c r="A83" s="6" t="str">
        <x:v>STACK_GREEN</x:v>
      </x:c>
      <x:c r="B83" s="6" t="str">
        <x:v>PLC output to relay coil</x:v>
      </x:c>
      <x:c r="C83" s="6" t="str">
        <x:v>-K209</x:v>
      </x:c>
      <x:c r="D83" s="6" t="str">
        <x:v>=FC01+CP01-K209</x:v>
      </x:c>
      <x:c r="E83" s="6" t="str">
        <x:v>A1</x:v>
      </x:c>
      <x:c r="F83" s="6" t="str"/>
      <x:c r="G83" s="6" t="str"/>
      <x:c r="H83" s="6" t="str">
        <x:v>-K209:A1</x:v>
      </x:c>
      <x:c r="I83" s="6" t="str"/>
      <x:c r="J83" s="6" t="str">
        <x:v>W0082</x:v>
      </x:c>
      <x:c r="K83" s="6" t="str">
        <x:v>-K209</x:v>
      </x:c>
      <x:c r="L83" s="6" t="str">
        <x:v>-A103</x:v>
      </x:c>
      <x:c r="M83" s="6" t="str">
        <x:v>=FC01+CP01-A103</x:v>
      </x:c>
      <x:c r="N83" s="6" t="str">
        <x:v>9</x:v>
      </x:c>
      <x:c r="O83" s="6" t="str">
        <x:v>Q1.1</x:v>
      </x:c>
      <x:c r="P83" s="6" t="str">
        <x:v>24 VDC switched</x:v>
      </x:c>
      <x:c r="Q83" s="6" t="str"/>
      <x:c r="R83" s="6" t="str"/>
      <x:c r="S83" s="6" t="str"/>
      <x:c r="T83" s="6" t="str">
        <x:v>BK</x:v>
      </x:c>
      <x:c r="U83" s="6" t="str">
        <x:v>=FC01+CP01-A103:9</x:v>
      </x:c>
      <x:c r="V83" s="6" t="str">
        <x:v>Controlled Rev-D topology; conductor size/terminal family and native QET continuity verification remain open</x:v>
      </x:c>
    </x:row>
    <x:row r="84" ht="27" customHeight="1">
      <x:c r="A84" s="6" t="str">
        <x:v>STACK_GREEN</x:v>
      </x:c>
      <x:c r="B84" s="6" t="str">
        <x:v>Relay coil return</x:v>
      </x:c>
      <x:c r="C84" s="6" t="str">
        <x:v>-K209</x:v>
      </x:c>
      <x:c r="D84" s="6" t="str">
        <x:v>=FC01+CP01-K209</x:v>
      </x:c>
      <x:c r="E84" s="6" t="str">
        <x:v>A2</x:v>
      </x:c>
      <x:c r="F84" s="6" t="str"/>
      <x:c r="G84" s="6" t="str"/>
      <x:c r="H84" s="6" t="str">
        <x:v>-K209:A2</x:v>
      </x:c>
      <x:c r="I84" s="6" t="str"/>
      <x:c r="J84" s="6" t="str">
        <x:v>W0083</x:v>
      </x:c>
      <x:c r="K84" s="6" t="str">
        <x:v>-K209</x:v>
      </x:c>
      <x:c r="L84" s="6" t="str">
        <x:v>-A103</x:v>
      </x:c>
      <x:c r="M84" s="6" t="str">
        <x:v>=FC01+CP01-A103</x:v>
      </x:c>
      <x:c r="N84" s="6" t="str">
        <x:v>9</x:v>
      </x:c>
      <x:c r="O84" s="6" t="str">
        <x:v>Q1.1</x:v>
      </x:c>
      <x:c r="P84" s="6" t="str">
        <x:v>0V</x:v>
      </x:c>
      <x:c r="Q84" s="6" t="str">
        <x:v>X0:0V</x:v>
      </x:c>
      <x:c r="R84" s="6" t="str"/>
      <x:c r="S84" s="6" t="str"/>
      <x:c r="T84" s="6" t="str">
        <x:v>BU</x:v>
      </x:c>
      <x:c r="U84" s="6" t="str">
        <x:v>=FC01+CP01-X0:0V</x:v>
      </x:c>
      <x:c r="V84" s="6" t="str">
        <x:v>Controlled Rev-D topology; conductor size/terminal family and native QET continuity verification remain open</x:v>
      </x:c>
    </x:row>
    <x:row r="85" ht="27" customHeight="1">
      <x:c r="A85" s="6" t="str">
        <x:v>STACK_GREEN</x:v>
      </x:c>
      <x:c r="B85" s="6" t="str">
        <x:v>Relay contact supply</x:v>
      </x:c>
      <x:c r="C85" s="6" t="str">
        <x:v>-K209</x:v>
      </x:c>
      <x:c r="D85" s="6" t="str">
        <x:v>=FC01+CP01-K209</x:v>
      </x:c>
      <x:c r="E85" s="6" t="str">
        <x:v>13</x:v>
      </x:c>
      <x:c r="F85" s="6" t="str"/>
      <x:c r="G85" s="6" t="str"/>
      <x:c r="H85" s="6" t="str">
        <x:v>-K209:13</x:v>
      </x:c>
      <x:c r="I85" s="6" t="str"/>
      <x:c r="J85" s="6" t="str">
        <x:v>W0084</x:v>
      </x:c>
      <x:c r="K85" s="6" t="str">
        <x:v>-K209</x:v>
      </x:c>
      <x:c r="L85" s="6" t="str">
        <x:v>-A103</x:v>
      </x:c>
      <x:c r="M85" s="6" t="str">
        <x:v>=FC01+CP01-A103</x:v>
      </x:c>
      <x:c r="N85" s="6" t="str">
        <x:v>9</x:v>
      </x:c>
      <x:c r="O85" s="6" t="str">
        <x:v>Q1.1</x:v>
      </x:c>
      <x:c r="P85" s="6" t="str">
        <x:v>+24VDC fused</x:v>
      </x:c>
      <x:c r="Q85" s="6" t="str"/>
      <x:c r="R85" s="6" t="str"/>
      <x:c r="S85" s="6" t="str"/>
      <x:c r="T85" s="6" t="str">
        <x:v>RD</x:v>
      </x:c>
      <x:c r="U85" s="6" t="str">
        <x:v>=FC01+CP01-X24:+24V</x:v>
      </x:c>
      <x:c r="V85" s="6" t="str">
        <x:v>Controlled Rev-D topology; conductor size/terminal family and native QET continuity verification remain open</x:v>
      </x:c>
    </x:row>
    <x:row r="86" ht="27" customHeight="1">
      <x:c r="A86" s="6" t="str">
        <x:v>STACK_GREEN</x:v>
      </x:c>
      <x:c r="B86" s="6" t="str">
        <x:v>Relay contact 14 to field load</x:v>
      </x:c>
      <x:c r="C86" s="6" t="str">
        <x:v>-H101</x:v>
      </x:c>
      <x:c r="D86" s="6" t="str">
        <x:v>=FC01+FLD-H101</x:v>
      </x:c>
      <x:c r="E86" s="6" t="str">
        <x:v>G</x:v>
      </x:c>
      <x:c r="F86" s="6" t="str">
        <x:v>C019</x:v>
      </x:c>
      <x:c r="G86" s="6" t="str">
        <x:v>1</x:v>
      </x:c>
      <x:c r="H86" s="6" t="str">
        <x:v>-H101:G</x:v>
      </x:c>
      <x:c r="I86" s="6" t="str">
        <x:v>X102:11</x:v>
      </x:c>
      <x:c r="J86" s="6" t="str">
        <x:v>W0085</x:v>
      </x:c>
      <x:c r="K86" s="6" t="str">
        <x:v>-K209</x:v>
      </x:c>
      <x:c r="L86" s="6" t="str">
        <x:v>-A103</x:v>
      </x:c>
      <x:c r="M86" s="6" t="str">
        <x:v>=FC01+CP01-A103</x:v>
      </x:c>
      <x:c r="N86" s="6" t="str">
        <x:v>9</x:v>
      </x:c>
      <x:c r="O86" s="6" t="str">
        <x:v>Q1.1</x:v>
      </x:c>
      <x:c r="P86" s="6" t="str">
        <x:v>+24VDC switched</x:v>
      </x:c>
      <x:c r="Q86" s="6" t="str"/>
      <x:c r="R86" s="6" t="str"/>
      <x:c r="S86" s="6" t="str"/>
      <x:c r="T86" s="6" t="str">
        <x:v>BK</x:v>
      </x:c>
      <x:c r="U86" s="6" t="str">
        <x:v>=FC01+CP01-K209:14</x:v>
      </x:c>
      <x:c r="V86" s="6" t="str">
        <x:v>Controlled Rev-D topology; conductor size/terminal family and native QET continuity verification remain open</x:v>
      </x:c>
    </x:row>
    <x:row r="87" ht="27" customHeight="1">
      <x:c r="A87" s="6" t="str">
        <x:v>STACK_GREEN</x:v>
      </x:c>
      <x:c r="B87" s="6" t="str">
        <x:v>Field load return</x:v>
      </x:c>
      <x:c r="C87" s="6" t="str">
        <x:v>-H101</x:v>
      </x:c>
      <x:c r="D87" s="6" t="str">
        <x:v>=FC01+FLD-H101</x:v>
      </x:c>
      <x:c r="E87" s="6" t="str">
        <x:v>COM-G</x:v>
      </x:c>
      <x:c r="F87" s="6" t="str">
        <x:v>C019</x:v>
      </x:c>
      <x:c r="G87" s="6" t="str">
        <x:v>2</x:v>
      </x:c>
      <x:c r="H87" s="6" t="str">
        <x:v>-H101:COM-G</x:v>
      </x:c>
      <x:c r="I87" s="6" t="str">
        <x:v>X102:12</x:v>
      </x:c>
      <x:c r="J87" s="6" t="str">
        <x:v>W0086</x:v>
      </x:c>
      <x:c r="K87" s="6" t="str">
        <x:v>-K209</x:v>
      </x:c>
      <x:c r="L87" s="6" t="str">
        <x:v>-A103</x:v>
      </x:c>
      <x:c r="M87" s="6" t="str">
        <x:v>=FC01+CP01-A103</x:v>
      </x:c>
      <x:c r="N87" s="6" t="str">
        <x:v>9</x:v>
      </x:c>
      <x:c r="O87" s="6" t="str">
        <x:v>Q1.1</x:v>
      </x:c>
      <x:c r="P87" s="6" t="str">
        <x:v>0V</x:v>
      </x:c>
      <x:c r="Q87" s="6" t="str">
        <x:v>X0:0V</x:v>
      </x:c>
      <x:c r="R87" s="6" t="str"/>
      <x:c r="S87" s="6" t="str"/>
      <x:c r="T87" s="6" t="str">
        <x:v>BU</x:v>
      </x:c>
      <x:c r="U87" s="6" t="str">
        <x:v>=FC01+CP01-X0:0V</x:v>
      </x:c>
      <x:c r="V87" s="6" t="str">
        <x:v>Controlled Rev-D topology; conductor size/terminal family and native QET continuity verification remain open</x:v>
      </x:c>
    </x:row>
    <x:row r="88" ht="27" customHeight="1">
      <x:c r="A88" s="6" t="str">
        <x:v>STACK_AMBER</x:v>
      </x:c>
      <x:c r="B88" s="6" t="str">
        <x:v>PLC output to relay coil</x:v>
      </x:c>
      <x:c r="C88" s="6" t="str">
        <x:v>-K210</x:v>
      </x:c>
      <x:c r="D88" s="6" t="str">
        <x:v>=FC01+CP01-K210</x:v>
      </x:c>
      <x:c r="E88" s="6" t="str">
        <x:v>A1</x:v>
      </x:c>
      <x:c r="F88" s="6" t="str"/>
      <x:c r="G88" s="6" t="str"/>
      <x:c r="H88" s="6" t="str">
        <x:v>-K210:A1</x:v>
      </x:c>
      <x:c r="I88" s="6" t="str"/>
      <x:c r="J88" s="6" t="str">
        <x:v>W0087</x:v>
      </x:c>
      <x:c r="K88" s="6" t="str">
        <x:v>-K210</x:v>
      </x:c>
      <x:c r="L88" s="6" t="str">
        <x:v>-A103</x:v>
      </x:c>
      <x:c r="M88" s="6" t="str">
        <x:v>=FC01+CP01-A103</x:v>
      </x:c>
      <x:c r="N88" s="6" t="str">
        <x:v>10</x:v>
      </x:c>
      <x:c r="O88" s="6" t="str">
        <x:v>Q1.2</x:v>
      </x:c>
      <x:c r="P88" s="6" t="str">
        <x:v>24 VDC switched</x:v>
      </x:c>
      <x:c r="Q88" s="6" t="str"/>
      <x:c r="R88" s="6" t="str"/>
      <x:c r="S88" s="6" t="str"/>
      <x:c r="T88" s="6" t="str">
        <x:v>BK</x:v>
      </x:c>
      <x:c r="U88" s="6" t="str">
        <x:v>=FC01+CP01-A103:10</x:v>
      </x:c>
      <x:c r="V88" s="6" t="str">
        <x:v>Controlled Rev-D topology; conductor size/terminal family and native QET continuity verification remain open</x:v>
      </x:c>
    </x:row>
    <x:row r="89" ht="27" customHeight="1">
      <x:c r="A89" s="6" t="str">
        <x:v>STACK_AMBER</x:v>
      </x:c>
      <x:c r="B89" s="6" t="str">
        <x:v>Relay coil return</x:v>
      </x:c>
      <x:c r="C89" s="6" t="str">
        <x:v>-K210</x:v>
      </x:c>
      <x:c r="D89" s="6" t="str">
        <x:v>=FC01+CP01-K210</x:v>
      </x:c>
      <x:c r="E89" s="6" t="str">
        <x:v>A2</x:v>
      </x:c>
      <x:c r="F89" s="6" t="str"/>
      <x:c r="G89" s="6" t="str"/>
      <x:c r="H89" s="6" t="str">
        <x:v>-K210:A2</x:v>
      </x:c>
      <x:c r="I89" s="6" t="str"/>
      <x:c r="J89" s="6" t="str">
        <x:v>W0088</x:v>
      </x:c>
      <x:c r="K89" s="6" t="str">
        <x:v>-K210</x:v>
      </x:c>
      <x:c r="L89" s="6" t="str">
        <x:v>-A103</x:v>
      </x:c>
      <x:c r="M89" s="6" t="str">
        <x:v>=FC01+CP01-A103</x:v>
      </x:c>
      <x:c r="N89" s="6" t="str">
        <x:v>10</x:v>
      </x:c>
      <x:c r="O89" s="6" t="str">
        <x:v>Q1.2</x:v>
      </x:c>
      <x:c r="P89" s="6" t="str">
        <x:v>0V</x:v>
      </x:c>
      <x:c r="Q89" s="6" t="str">
        <x:v>X0:0V</x:v>
      </x:c>
      <x:c r="R89" s="6" t="str"/>
      <x:c r="S89" s="6" t="str"/>
      <x:c r="T89" s="6" t="str">
        <x:v>BU</x:v>
      </x:c>
      <x:c r="U89" s="6" t="str">
        <x:v>=FC01+CP01-X0:0V</x:v>
      </x:c>
      <x:c r="V89" s="6" t="str">
        <x:v>Controlled Rev-D topology; conductor size/terminal family and native QET continuity verification remain open</x:v>
      </x:c>
    </x:row>
    <x:row r="90" ht="27" customHeight="1">
      <x:c r="A90" s="6" t="str">
        <x:v>STACK_AMBER</x:v>
      </x:c>
      <x:c r="B90" s="6" t="str">
        <x:v>Relay contact supply</x:v>
      </x:c>
      <x:c r="C90" s="6" t="str">
        <x:v>-K210</x:v>
      </x:c>
      <x:c r="D90" s="6" t="str">
        <x:v>=FC01+CP01-K210</x:v>
      </x:c>
      <x:c r="E90" s="6" t="str">
        <x:v>13</x:v>
      </x:c>
      <x:c r="F90" s="6" t="str"/>
      <x:c r="G90" s="6" t="str"/>
      <x:c r="H90" s="6" t="str">
        <x:v>-K210:13</x:v>
      </x:c>
      <x:c r="I90" s="6" t="str"/>
      <x:c r="J90" s="6" t="str">
        <x:v>W0089</x:v>
      </x:c>
      <x:c r="K90" s="6" t="str">
        <x:v>-K210</x:v>
      </x:c>
      <x:c r="L90" s="6" t="str">
        <x:v>-A103</x:v>
      </x:c>
      <x:c r="M90" s="6" t="str">
        <x:v>=FC01+CP01-A103</x:v>
      </x:c>
      <x:c r="N90" s="6" t="str">
        <x:v>10</x:v>
      </x:c>
      <x:c r="O90" s="6" t="str">
        <x:v>Q1.2</x:v>
      </x:c>
      <x:c r="P90" s="6" t="str">
        <x:v>+24VDC fused</x:v>
      </x:c>
      <x:c r="Q90" s="6" t="str"/>
      <x:c r="R90" s="6" t="str"/>
      <x:c r="S90" s="6" t="str"/>
      <x:c r="T90" s="6" t="str">
        <x:v>RD</x:v>
      </x:c>
      <x:c r="U90" s="6" t="str">
        <x:v>=FC01+CP01-X24:+24V</x:v>
      </x:c>
      <x:c r="V90" s="6" t="str">
        <x:v>Controlled Rev-D topology; conductor size/terminal family and native QET continuity verification remain open</x:v>
      </x:c>
    </x:row>
    <x:row r="91" ht="27" customHeight="1">
      <x:c r="A91" s="6" t="str">
        <x:v>STACK_AMBER</x:v>
      </x:c>
      <x:c r="B91" s="6" t="str">
        <x:v>Relay contact 14 to field load</x:v>
      </x:c>
      <x:c r="C91" s="6" t="str">
        <x:v>-H101</x:v>
      </x:c>
      <x:c r="D91" s="6" t="str">
        <x:v>=FC01+FLD-H101</x:v>
      </x:c>
      <x:c r="E91" s="6" t="str">
        <x:v>A</x:v>
      </x:c>
      <x:c r="F91" s="6" t="str">
        <x:v>C019</x:v>
      </x:c>
      <x:c r="G91" s="6" t="str">
        <x:v>3</x:v>
      </x:c>
      <x:c r="H91" s="6" t="str">
        <x:v>-H101:A</x:v>
      </x:c>
      <x:c r="I91" s="6" t="str">
        <x:v>X102:13</x:v>
      </x:c>
      <x:c r="J91" s="6" t="str">
        <x:v>W0090</x:v>
      </x:c>
      <x:c r="K91" s="6" t="str">
        <x:v>-K210</x:v>
      </x:c>
      <x:c r="L91" s="6" t="str">
        <x:v>-A103</x:v>
      </x:c>
      <x:c r="M91" s="6" t="str">
        <x:v>=FC01+CP01-A103</x:v>
      </x:c>
      <x:c r="N91" s="6" t="str">
        <x:v>10</x:v>
      </x:c>
      <x:c r="O91" s="6" t="str">
        <x:v>Q1.2</x:v>
      </x:c>
      <x:c r="P91" s="6" t="str">
        <x:v>+24VDC switched</x:v>
      </x:c>
      <x:c r="Q91" s="6" t="str"/>
      <x:c r="R91" s="6" t="str"/>
      <x:c r="S91" s="6" t="str"/>
      <x:c r="T91" s="6" t="str">
        <x:v>BK</x:v>
      </x:c>
      <x:c r="U91" s="6" t="str">
        <x:v>=FC01+CP01-K210:14</x:v>
      </x:c>
      <x:c r="V91" s="6" t="str">
        <x:v>Controlled Rev-D topology; conductor size/terminal family and native QET continuity verification remain open</x:v>
      </x:c>
    </x:row>
    <x:row r="92" ht="27" customHeight="1">
      <x:c r="A92" s="6" t="str">
        <x:v>STACK_AMBER</x:v>
      </x:c>
      <x:c r="B92" s="6" t="str">
        <x:v>Field load return</x:v>
      </x:c>
      <x:c r="C92" s="6" t="str">
        <x:v>-H101</x:v>
      </x:c>
      <x:c r="D92" s="6" t="str">
        <x:v>=FC01+FLD-H101</x:v>
      </x:c>
      <x:c r="E92" s="6" t="str">
        <x:v>COM-A</x:v>
      </x:c>
      <x:c r="F92" s="6" t="str">
        <x:v>C019</x:v>
      </x:c>
      <x:c r="G92" s="6" t="str">
        <x:v>4</x:v>
      </x:c>
      <x:c r="H92" s="6" t="str">
        <x:v>-H101:COM-A</x:v>
      </x:c>
      <x:c r="I92" s="6" t="str">
        <x:v>X102:14</x:v>
      </x:c>
      <x:c r="J92" s="6" t="str">
        <x:v>W0091</x:v>
      </x:c>
      <x:c r="K92" s="6" t="str">
        <x:v>-K210</x:v>
      </x:c>
      <x:c r="L92" s="6" t="str">
        <x:v>-A103</x:v>
      </x:c>
      <x:c r="M92" s="6" t="str">
        <x:v>=FC01+CP01-A103</x:v>
      </x:c>
      <x:c r="N92" s="6" t="str">
        <x:v>10</x:v>
      </x:c>
      <x:c r="O92" s="6" t="str">
        <x:v>Q1.2</x:v>
      </x:c>
      <x:c r="P92" s="6" t="str">
        <x:v>0V</x:v>
      </x:c>
      <x:c r="Q92" s="6" t="str">
        <x:v>X0:0V</x:v>
      </x:c>
      <x:c r="R92" s="6" t="str"/>
      <x:c r="S92" s="6" t="str"/>
      <x:c r="T92" s="6" t="str">
        <x:v>BU</x:v>
      </x:c>
      <x:c r="U92" s="6" t="str">
        <x:v>=FC01+CP01-X0:0V</x:v>
      </x:c>
      <x:c r="V92" s="6" t="str">
        <x:v>Controlled Rev-D topology; conductor size/terminal family and native QET continuity verification remain open</x:v>
      </x:c>
    </x:row>
    <x:row r="93" ht="27" customHeight="1">
      <x:c r="A93" s="6" t="str">
        <x:v>STACK_RED</x:v>
      </x:c>
      <x:c r="B93" s="6" t="str">
        <x:v>PLC output to relay coil</x:v>
      </x:c>
      <x:c r="C93" s="6" t="str">
        <x:v>-K211</x:v>
      </x:c>
      <x:c r="D93" s="6" t="str">
        <x:v>=FC01+CP01-K211</x:v>
      </x:c>
      <x:c r="E93" s="6" t="str">
        <x:v>A1</x:v>
      </x:c>
      <x:c r="F93" s="6" t="str"/>
      <x:c r="G93" s="6" t="str"/>
      <x:c r="H93" s="6" t="str">
        <x:v>-K211:A1</x:v>
      </x:c>
      <x:c r="I93" s="6" t="str"/>
      <x:c r="J93" s="6" t="str">
        <x:v>W0092</x:v>
      </x:c>
      <x:c r="K93" s="6" t="str">
        <x:v>-K211</x:v>
      </x:c>
      <x:c r="L93" s="6" t="str">
        <x:v>-A103</x:v>
      </x:c>
      <x:c r="M93" s="6" t="str">
        <x:v>=FC01+CP01-A103</x:v>
      </x:c>
      <x:c r="N93" s="6" t="str">
        <x:v>11</x:v>
      </x:c>
      <x:c r="O93" s="6" t="str">
        <x:v>Q1.3</x:v>
      </x:c>
      <x:c r="P93" s="6" t="str">
        <x:v>24 VDC switched</x:v>
      </x:c>
      <x:c r="Q93" s="6" t="str"/>
      <x:c r="R93" s="6" t="str"/>
      <x:c r="S93" s="6" t="str"/>
      <x:c r="T93" s="6" t="str">
        <x:v>BK</x:v>
      </x:c>
      <x:c r="U93" s="6" t="str">
        <x:v>=FC01+CP01-A103:11</x:v>
      </x:c>
      <x:c r="V93" s="6" t="str">
        <x:v>Controlled Rev-D topology; conductor size/terminal family and native QET continuity verification remain open</x:v>
      </x:c>
    </x:row>
    <x:row r="94" ht="27" customHeight="1">
      <x:c r="A94" s="6" t="str">
        <x:v>STACK_RED</x:v>
      </x:c>
      <x:c r="B94" s="6" t="str">
        <x:v>Relay coil return</x:v>
      </x:c>
      <x:c r="C94" s="6" t="str">
        <x:v>-K211</x:v>
      </x:c>
      <x:c r="D94" s="6" t="str">
        <x:v>=FC01+CP01-K211</x:v>
      </x:c>
      <x:c r="E94" s="6" t="str">
        <x:v>A2</x:v>
      </x:c>
      <x:c r="F94" s="6" t="str"/>
      <x:c r="G94" s="6" t="str"/>
      <x:c r="H94" s="6" t="str">
        <x:v>-K211:A2</x:v>
      </x:c>
      <x:c r="I94" s="6" t="str"/>
      <x:c r="J94" s="6" t="str">
        <x:v>W0093</x:v>
      </x:c>
      <x:c r="K94" s="6" t="str">
        <x:v>-K211</x:v>
      </x:c>
      <x:c r="L94" s="6" t="str">
        <x:v>-A103</x:v>
      </x:c>
      <x:c r="M94" s="6" t="str">
        <x:v>=FC01+CP01-A103</x:v>
      </x:c>
      <x:c r="N94" s="6" t="str">
        <x:v>11</x:v>
      </x:c>
      <x:c r="O94" s="6" t="str">
        <x:v>Q1.3</x:v>
      </x:c>
      <x:c r="P94" s="6" t="str">
        <x:v>0V</x:v>
      </x:c>
      <x:c r="Q94" s="6" t="str">
        <x:v>X0:0V</x:v>
      </x:c>
      <x:c r="R94" s="6" t="str"/>
      <x:c r="S94" s="6" t="str"/>
      <x:c r="T94" s="6" t="str">
        <x:v>BU</x:v>
      </x:c>
      <x:c r="U94" s="6" t="str">
        <x:v>=FC01+CP01-X0:0V</x:v>
      </x:c>
      <x:c r="V94" s="6" t="str">
        <x:v>Controlled Rev-D topology; conductor size/terminal family and native QET continuity verification remain open</x:v>
      </x:c>
    </x:row>
    <x:row r="95" ht="27" customHeight="1">
      <x:c r="A95" s="6" t="str">
        <x:v>STACK_RED</x:v>
      </x:c>
      <x:c r="B95" s="6" t="str">
        <x:v>Relay contact supply</x:v>
      </x:c>
      <x:c r="C95" s="6" t="str">
        <x:v>-K211</x:v>
      </x:c>
      <x:c r="D95" s="6" t="str">
        <x:v>=FC01+CP01-K211</x:v>
      </x:c>
      <x:c r="E95" s="6" t="str">
        <x:v>13</x:v>
      </x:c>
      <x:c r="F95" s="6" t="str"/>
      <x:c r="G95" s="6" t="str"/>
      <x:c r="H95" s="6" t="str">
        <x:v>-K211:13</x:v>
      </x:c>
      <x:c r="I95" s="6" t="str"/>
      <x:c r="J95" s="6" t="str">
        <x:v>W0094</x:v>
      </x:c>
      <x:c r="K95" s="6" t="str">
        <x:v>-K211</x:v>
      </x:c>
      <x:c r="L95" s="6" t="str">
        <x:v>-A103</x:v>
      </x:c>
      <x:c r="M95" s="6" t="str">
        <x:v>=FC01+CP01-A103</x:v>
      </x:c>
      <x:c r="N95" s="6" t="str">
        <x:v>11</x:v>
      </x:c>
      <x:c r="O95" s="6" t="str">
        <x:v>Q1.3</x:v>
      </x:c>
      <x:c r="P95" s="6" t="str">
        <x:v>+24VDC fused</x:v>
      </x:c>
      <x:c r="Q95" s="6" t="str"/>
      <x:c r="R95" s="6" t="str"/>
      <x:c r="S95" s="6" t="str"/>
      <x:c r="T95" s="6" t="str">
        <x:v>RD</x:v>
      </x:c>
      <x:c r="U95" s="6" t="str">
        <x:v>=FC01+CP01-X24:+24V</x:v>
      </x:c>
      <x:c r="V95" s="6" t="str">
        <x:v>Controlled Rev-D topology; conductor size/terminal family and native QET continuity verification remain open</x:v>
      </x:c>
    </x:row>
    <x:row r="96" ht="27" customHeight="1">
      <x:c r="A96" s="6" t="str">
        <x:v>STACK_RED</x:v>
      </x:c>
      <x:c r="B96" s="6" t="str">
        <x:v>Relay contact 14 to field load</x:v>
      </x:c>
      <x:c r="C96" s="6" t="str">
        <x:v>-H101</x:v>
      </x:c>
      <x:c r="D96" s="6" t="str">
        <x:v>=FC01+FLD-H101</x:v>
      </x:c>
      <x:c r="E96" s="6" t="str">
        <x:v>R</x:v>
      </x:c>
      <x:c r="F96" s="6" t="str">
        <x:v>C019</x:v>
      </x:c>
      <x:c r="G96" s="6" t="str">
        <x:v>5</x:v>
      </x:c>
      <x:c r="H96" s="6" t="str">
        <x:v>-H101:R</x:v>
      </x:c>
      <x:c r="I96" s="6" t="str">
        <x:v>X102:15</x:v>
      </x:c>
      <x:c r="J96" s="6" t="str">
        <x:v>W0095</x:v>
      </x:c>
      <x:c r="K96" s="6" t="str">
        <x:v>-K211</x:v>
      </x:c>
      <x:c r="L96" s="6" t="str">
        <x:v>-A103</x:v>
      </x:c>
      <x:c r="M96" s="6" t="str">
        <x:v>=FC01+CP01-A103</x:v>
      </x:c>
      <x:c r="N96" s="6" t="str">
        <x:v>11</x:v>
      </x:c>
      <x:c r="O96" s="6" t="str">
        <x:v>Q1.3</x:v>
      </x:c>
      <x:c r="P96" s="6" t="str">
        <x:v>+24VDC switched</x:v>
      </x:c>
      <x:c r="Q96" s="6" t="str"/>
      <x:c r="R96" s="6" t="str"/>
      <x:c r="S96" s="6" t="str"/>
      <x:c r="T96" s="6" t="str">
        <x:v>BK</x:v>
      </x:c>
      <x:c r="U96" s="6" t="str">
        <x:v>=FC01+CP01-K211:14</x:v>
      </x:c>
      <x:c r="V96" s="6" t="str">
        <x:v>Controlled Rev-D topology; conductor size/terminal family and native QET continuity verification remain open</x:v>
      </x:c>
    </x:row>
    <x:row r="97" ht="27" customHeight="1">
      <x:c r="A97" s="6" t="str">
        <x:v>STACK_RED</x:v>
      </x:c>
      <x:c r="B97" s="6" t="str">
        <x:v>Field load return</x:v>
      </x:c>
      <x:c r="C97" s="6" t="str">
        <x:v>-H101</x:v>
      </x:c>
      <x:c r="D97" s="6" t="str">
        <x:v>=FC01+FLD-H101</x:v>
      </x:c>
      <x:c r="E97" s="6" t="str">
        <x:v>COM-R</x:v>
      </x:c>
      <x:c r="F97" s="6" t="str">
        <x:v>C019</x:v>
      </x:c>
      <x:c r="G97" s="6" t="str">
        <x:v>6</x:v>
      </x:c>
      <x:c r="H97" s="6" t="str">
        <x:v>-H101:COM-R</x:v>
      </x:c>
      <x:c r="I97" s="6" t="str">
        <x:v>X102:16</x:v>
      </x:c>
      <x:c r="J97" s="6" t="str">
        <x:v>W0096</x:v>
      </x:c>
      <x:c r="K97" s="6" t="str">
        <x:v>-K211</x:v>
      </x:c>
      <x:c r="L97" s="6" t="str">
        <x:v>-A103</x:v>
      </x:c>
      <x:c r="M97" s="6" t="str">
        <x:v>=FC01+CP01-A103</x:v>
      </x:c>
      <x:c r="N97" s="6" t="str">
        <x:v>11</x:v>
      </x:c>
      <x:c r="O97" s="6" t="str">
        <x:v>Q1.3</x:v>
      </x:c>
      <x:c r="P97" s="6" t="str">
        <x:v>0V</x:v>
      </x:c>
      <x:c r="Q97" s="6" t="str">
        <x:v>X0:0V</x:v>
      </x:c>
      <x:c r="R97" s="6" t="str"/>
      <x:c r="S97" s="6" t="str"/>
      <x:c r="T97" s="6" t="str">
        <x:v>BU</x:v>
      </x:c>
      <x:c r="U97" s="6" t="str">
        <x:v>=FC01+CP01-X0:0V</x:v>
      </x:c>
      <x:c r="V97" s="6" t="str">
        <x:v>Controlled Rev-D topology; conductor size/terminal family and native QET continuity verification remain open</x:v>
      </x:c>
    </x:row>
    <x:row r="98" ht="27" customHeight="1">
      <x:c r="A98" s="6" t="str">
        <x:v>AUDIBLE_ALARM</x:v>
      </x:c>
      <x:c r="B98" s="6" t="str">
        <x:v>PLC output to relay coil</x:v>
      </x:c>
      <x:c r="C98" s="6" t="str">
        <x:v>-K212</x:v>
      </x:c>
      <x:c r="D98" s="6" t="str">
        <x:v>=FC01+CP01-K212</x:v>
      </x:c>
      <x:c r="E98" s="6" t="str">
        <x:v>A1</x:v>
      </x:c>
      <x:c r="F98" s="6" t="str"/>
      <x:c r="G98" s="6" t="str"/>
      <x:c r="H98" s="6" t="str">
        <x:v>-K212:A1</x:v>
      </x:c>
      <x:c r="I98" s="6" t="str"/>
      <x:c r="J98" s="6" t="str">
        <x:v>W0097</x:v>
      </x:c>
      <x:c r="K98" s="6" t="str">
        <x:v>-K212</x:v>
      </x:c>
      <x:c r="L98" s="6" t="str">
        <x:v>-A103</x:v>
      </x:c>
      <x:c r="M98" s="6" t="str">
        <x:v>=FC01+CP01-A103</x:v>
      </x:c>
      <x:c r="N98" s="6" t="str">
        <x:v>12</x:v>
      </x:c>
      <x:c r="O98" s="6" t="str">
        <x:v>Q1.4</x:v>
      </x:c>
      <x:c r="P98" s="6" t="str">
        <x:v>24 VDC switched</x:v>
      </x:c>
      <x:c r="Q98" s="6" t="str"/>
      <x:c r="R98" s="6" t="str"/>
      <x:c r="S98" s="6" t="str"/>
      <x:c r="T98" s="6" t="str">
        <x:v>BK</x:v>
      </x:c>
      <x:c r="U98" s="6" t="str">
        <x:v>=FC01+CP01-A103:12</x:v>
      </x:c>
      <x:c r="V98" s="6" t="str">
        <x:v>Controlled Rev-D topology; conductor size/terminal family and native QET continuity verification remain open</x:v>
      </x:c>
    </x:row>
    <x:row r="99" ht="27" customHeight="1">
      <x:c r="A99" s="6" t="str">
        <x:v>AUDIBLE_ALARM</x:v>
      </x:c>
      <x:c r="B99" s="6" t="str">
        <x:v>Relay coil return</x:v>
      </x:c>
      <x:c r="C99" s="6" t="str">
        <x:v>-K212</x:v>
      </x:c>
      <x:c r="D99" s="6" t="str">
        <x:v>=FC01+CP01-K212</x:v>
      </x:c>
      <x:c r="E99" s="6" t="str">
        <x:v>A2</x:v>
      </x:c>
      <x:c r="F99" s="6" t="str"/>
      <x:c r="G99" s="6" t="str"/>
      <x:c r="H99" s="6" t="str">
        <x:v>-K212:A2</x:v>
      </x:c>
      <x:c r="I99" s="6" t="str"/>
      <x:c r="J99" s="6" t="str">
        <x:v>W0098</x:v>
      </x:c>
      <x:c r="K99" s="6" t="str">
        <x:v>-K212</x:v>
      </x:c>
      <x:c r="L99" s="6" t="str">
        <x:v>-A103</x:v>
      </x:c>
      <x:c r="M99" s="6" t="str">
        <x:v>=FC01+CP01-A103</x:v>
      </x:c>
      <x:c r="N99" s="6" t="str">
        <x:v>12</x:v>
      </x:c>
      <x:c r="O99" s="6" t="str">
        <x:v>Q1.4</x:v>
      </x:c>
      <x:c r="P99" s="6" t="str">
        <x:v>0V</x:v>
      </x:c>
      <x:c r="Q99" s="6" t="str">
        <x:v>X0:0V</x:v>
      </x:c>
      <x:c r="R99" s="6" t="str"/>
      <x:c r="S99" s="6" t="str"/>
      <x:c r="T99" s="6" t="str">
        <x:v>BU</x:v>
      </x:c>
      <x:c r="U99" s="6" t="str">
        <x:v>=FC01+CP01-X0:0V</x:v>
      </x:c>
      <x:c r="V99" s="6" t="str">
        <x:v>Controlled Rev-D topology; conductor size/terminal family and native QET continuity verification remain open</x:v>
      </x:c>
    </x:row>
    <x:row r="100" ht="27" customHeight="1">
      <x:c r="A100" s="6" t="str">
        <x:v>AUDIBLE_ALARM</x:v>
      </x:c>
      <x:c r="B100" s="6" t="str">
        <x:v>Relay contact supply</x:v>
      </x:c>
      <x:c r="C100" s="6" t="str">
        <x:v>-K212</x:v>
      </x:c>
      <x:c r="D100" s="6" t="str">
        <x:v>=FC01+CP01-K212</x:v>
      </x:c>
      <x:c r="E100" s="6" t="str">
        <x:v>13</x:v>
      </x:c>
      <x:c r="F100" s="6" t="str"/>
      <x:c r="G100" s="6" t="str"/>
      <x:c r="H100" s="6" t="str">
        <x:v>-K212:13</x:v>
      </x:c>
      <x:c r="I100" s="6" t="str"/>
      <x:c r="J100" s="6" t="str">
        <x:v>W0099</x:v>
      </x:c>
      <x:c r="K100" s="6" t="str">
        <x:v>-K212</x:v>
      </x:c>
      <x:c r="L100" s="6" t="str">
        <x:v>-A103</x:v>
      </x:c>
      <x:c r="M100" s="6" t="str">
        <x:v>=FC01+CP01-A103</x:v>
      </x:c>
      <x:c r="N100" s="6" t="str">
        <x:v>12</x:v>
      </x:c>
      <x:c r="O100" s="6" t="str">
        <x:v>Q1.4</x:v>
      </x:c>
      <x:c r="P100" s="6" t="str">
        <x:v>+24VDC fused</x:v>
      </x:c>
      <x:c r="Q100" s="6" t="str"/>
      <x:c r="R100" s="6" t="str"/>
      <x:c r="S100" s="6" t="str"/>
      <x:c r="T100" s="6" t="str">
        <x:v>RD</x:v>
      </x:c>
      <x:c r="U100" s="6" t="str">
        <x:v>=FC01+CP01-X24:+24V</x:v>
      </x:c>
      <x:c r="V100" s="6" t="str">
        <x:v>Controlled Rev-D topology; conductor size/terminal family and native QET continuity verification remain open</x:v>
      </x:c>
    </x:row>
    <x:row r="101" ht="27" customHeight="1">
      <x:c r="A101" s="6" t="str">
        <x:v>AUDIBLE_ALARM</x:v>
      </x:c>
      <x:c r="B101" s="6" t="str">
        <x:v>Relay contact 14 to field load</x:v>
      </x:c>
      <x:c r="C101" s="6" t="str">
        <x:v>-H101</x:v>
      </x:c>
      <x:c r="D101" s="6" t="str">
        <x:v>=FC01+FLD-H101</x:v>
      </x:c>
      <x:c r="E101" s="6" t="str">
        <x:v>S</x:v>
      </x:c>
      <x:c r="F101" s="6" t="str">
        <x:v>C019</x:v>
      </x:c>
      <x:c r="G101" s="6" t="str">
        <x:v>7</x:v>
      </x:c>
      <x:c r="H101" s="6" t="str">
        <x:v>-H101:S</x:v>
      </x:c>
      <x:c r="I101" s="6" t="str">
        <x:v>X102:17</x:v>
      </x:c>
      <x:c r="J101" s="6" t="str">
        <x:v>W0100</x:v>
      </x:c>
      <x:c r="K101" s="6" t="str">
        <x:v>-K212</x:v>
      </x:c>
      <x:c r="L101" s="6" t="str">
        <x:v>-A103</x:v>
      </x:c>
      <x:c r="M101" s="6" t="str">
        <x:v>=FC01+CP01-A103</x:v>
      </x:c>
      <x:c r="N101" s="6" t="str">
        <x:v>12</x:v>
      </x:c>
      <x:c r="O101" s="6" t="str">
        <x:v>Q1.4</x:v>
      </x:c>
      <x:c r="P101" s="6" t="str">
        <x:v>+24VDC switched</x:v>
      </x:c>
      <x:c r="Q101" s="6" t="str"/>
      <x:c r="R101" s="6" t="str"/>
      <x:c r="S101" s="6" t="str"/>
      <x:c r="T101" s="6" t="str">
        <x:v>BK</x:v>
      </x:c>
      <x:c r="U101" s="6" t="str">
        <x:v>=FC01+CP01-K212:14</x:v>
      </x:c>
      <x:c r="V101" s="6" t="str">
        <x:v>Controlled Rev-D topology; conductor size/terminal family and native QET continuity verification remain open</x:v>
      </x:c>
    </x:row>
    <x:row r="102" ht="27" customHeight="1">
      <x:c r="A102" s="6" t="str">
        <x:v>AUDIBLE_ALARM</x:v>
      </x:c>
      <x:c r="B102" s="6" t="str">
        <x:v>Field load return</x:v>
      </x:c>
      <x:c r="C102" s="6" t="str">
        <x:v>-H101</x:v>
      </x:c>
      <x:c r="D102" s="6" t="str">
        <x:v>=FC01+FLD-H101</x:v>
      </x:c>
      <x:c r="E102" s="6" t="str">
        <x:v>COM-S</x:v>
      </x:c>
      <x:c r="F102" s="6" t="str">
        <x:v>C019</x:v>
      </x:c>
      <x:c r="G102" s="6" t="str">
        <x:v>8</x:v>
      </x:c>
      <x:c r="H102" s="6" t="str">
        <x:v>-H101:COM-S</x:v>
      </x:c>
      <x:c r="I102" s="6" t="str">
        <x:v>X102:18</x:v>
      </x:c>
      <x:c r="J102" s="6" t="str">
        <x:v>W0101</x:v>
      </x:c>
      <x:c r="K102" s="6" t="str">
        <x:v>-K212</x:v>
      </x:c>
      <x:c r="L102" s="6" t="str">
        <x:v>-A103</x:v>
      </x:c>
      <x:c r="M102" s="6" t="str">
        <x:v>=FC01+CP01-A103</x:v>
      </x:c>
      <x:c r="N102" s="6" t="str">
        <x:v>12</x:v>
      </x:c>
      <x:c r="O102" s="6" t="str">
        <x:v>Q1.4</x:v>
      </x:c>
      <x:c r="P102" s="6" t="str">
        <x:v>0V</x:v>
      </x:c>
      <x:c r="Q102" s="6" t="str">
        <x:v>X0:0V</x:v>
      </x:c>
      <x:c r="R102" s="6" t="str"/>
      <x:c r="S102" s="6" t="str"/>
      <x:c r="T102" s="6" t="str">
        <x:v>BU</x:v>
      </x:c>
      <x:c r="U102" s="6" t="str">
        <x:v>=FC01+CP01-X0:0V</x:v>
      </x:c>
      <x:c r="V102" s="6" t="str">
        <x:v>Controlled Rev-D topology; conductor size/terminal family and native QET continuity verification remain open</x:v>
      </x:c>
    </x:row>
    <x:row r="103" ht="27" customHeight="1">
      <x:c r="A103" s="6" t="str">
        <x:v>CAMERA_LIGHT_ENABLE</x:v>
      </x:c>
      <x:c r="B103" s="6" t="str">
        <x:v>PLC output to relay coil</x:v>
      </x:c>
      <x:c r="C103" s="6" t="str">
        <x:v>-K213</x:v>
      </x:c>
      <x:c r="D103" s="6" t="str">
        <x:v>=FC01+CP01-K213</x:v>
      </x:c>
      <x:c r="E103" s="6" t="str">
        <x:v>A1</x:v>
      </x:c>
      <x:c r="F103" s="6" t="str"/>
      <x:c r="G103" s="6" t="str"/>
      <x:c r="H103" s="6" t="str">
        <x:v>-K213:A1</x:v>
      </x:c>
      <x:c r="I103" s="6" t="str"/>
      <x:c r="J103" s="6" t="str">
        <x:v>W0102</x:v>
      </x:c>
      <x:c r="K103" s="6" t="str">
        <x:v>-K213</x:v>
      </x:c>
      <x:c r="L103" s="6" t="str">
        <x:v>-A103</x:v>
      </x:c>
      <x:c r="M103" s="6" t="str">
        <x:v>=FC01+CP01-A103</x:v>
      </x:c>
      <x:c r="N103" s="6" t="str">
        <x:v>13</x:v>
      </x:c>
      <x:c r="O103" s="6" t="str">
        <x:v>Q1.5</x:v>
      </x:c>
      <x:c r="P103" s="6" t="str">
        <x:v>24 VDC switched</x:v>
      </x:c>
      <x:c r="Q103" s="6" t="str"/>
      <x:c r="R103" s="6" t="str"/>
      <x:c r="S103" s="6" t="str"/>
      <x:c r="T103" s="6" t="str">
        <x:v>BK</x:v>
      </x:c>
      <x:c r="U103" s="6" t="str">
        <x:v>=FC01+CP01-A103:13</x:v>
      </x:c>
      <x:c r="V103" s="6" t="str">
        <x:v>Controlled Rev-D topology; conductor size/terminal family and native QET continuity verification remain open</x:v>
      </x:c>
    </x:row>
    <x:row r="104" ht="27" customHeight="1">
      <x:c r="A104" s="6" t="str">
        <x:v>CAMERA_LIGHT_ENABLE</x:v>
      </x:c>
      <x:c r="B104" s="6" t="str">
        <x:v>Relay coil return</x:v>
      </x:c>
      <x:c r="C104" s="6" t="str">
        <x:v>-K213</x:v>
      </x:c>
      <x:c r="D104" s="6" t="str">
        <x:v>=FC01+CP01-K213</x:v>
      </x:c>
      <x:c r="E104" s="6" t="str">
        <x:v>A2</x:v>
      </x:c>
      <x:c r="F104" s="6" t="str"/>
      <x:c r="G104" s="6" t="str"/>
      <x:c r="H104" s="6" t="str">
        <x:v>-K213:A2</x:v>
      </x:c>
      <x:c r="I104" s="6" t="str"/>
      <x:c r="J104" s="6" t="str">
        <x:v>W0103</x:v>
      </x:c>
      <x:c r="K104" s="6" t="str">
        <x:v>-K213</x:v>
      </x:c>
      <x:c r="L104" s="6" t="str">
        <x:v>-A103</x:v>
      </x:c>
      <x:c r="M104" s="6" t="str">
        <x:v>=FC01+CP01-A103</x:v>
      </x:c>
      <x:c r="N104" s="6" t="str">
        <x:v>13</x:v>
      </x:c>
      <x:c r="O104" s="6" t="str">
        <x:v>Q1.5</x:v>
      </x:c>
      <x:c r="P104" s="6" t="str">
        <x:v>0V</x:v>
      </x:c>
      <x:c r="Q104" s="6" t="str">
        <x:v>X0:0V</x:v>
      </x:c>
      <x:c r="R104" s="6" t="str"/>
      <x:c r="S104" s="6" t="str"/>
      <x:c r="T104" s="6" t="str">
        <x:v>BU</x:v>
      </x:c>
      <x:c r="U104" s="6" t="str">
        <x:v>=FC01+CP01-X0:0V</x:v>
      </x:c>
      <x:c r="V104" s="6" t="str">
        <x:v>Controlled Rev-D topology; conductor size/terminal family and native QET continuity verification remain open</x:v>
      </x:c>
    </x:row>
    <x:row r="105" ht="27" customHeight="1">
      <x:c r="A105" s="6" t="str">
        <x:v>CAMERA_LIGHT_ENABLE</x:v>
      </x:c>
      <x:c r="B105" s="6" t="str">
        <x:v>Relay contact supply</x:v>
      </x:c>
      <x:c r="C105" s="6" t="str">
        <x:v>-K213</x:v>
      </x:c>
      <x:c r="D105" s="6" t="str">
        <x:v>=FC01+CP01-K213</x:v>
      </x:c>
      <x:c r="E105" s="6" t="str">
        <x:v>13</x:v>
      </x:c>
      <x:c r="F105" s="6" t="str"/>
      <x:c r="G105" s="6" t="str"/>
      <x:c r="H105" s="6" t="str">
        <x:v>-K213:13</x:v>
      </x:c>
      <x:c r="I105" s="6" t="str"/>
      <x:c r="J105" s="6" t="str">
        <x:v>W0104</x:v>
      </x:c>
      <x:c r="K105" s="6" t="str">
        <x:v>-K213</x:v>
      </x:c>
      <x:c r="L105" s="6" t="str">
        <x:v>-A103</x:v>
      </x:c>
      <x:c r="M105" s="6" t="str">
        <x:v>=FC01+CP01-A103</x:v>
      </x:c>
      <x:c r="N105" s="6" t="str">
        <x:v>13</x:v>
      </x:c>
      <x:c r="O105" s="6" t="str">
        <x:v>Q1.5</x:v>
      </x:c>
      <x:c r="P105" s="6" t="str">
        <x:v>+24VDC fused</x:v>
      </x:c>
      <x:c r="Q105" s="6" t="str"/>
      <x:c r="R105" s="6" t="str"/>
      <x:c r="S105" s="6" t="str"/>
      <x:c r="T105" s="6" t="str">
        <x:v>RD</x:v>
      </x:c>
      <x:c r="U105" s="6" t="str">
        <x:v>=FC01+CP01-X24:+24V</x:v>
      </x:c>
      <x:c r="V105" s="6" t="str">
        <x:v>Controlled Rev-D topology; conductor size/terminal family and native QET continuity verification remain open</x:v>
      </x:c>
    </x:row>
    <x:row r="106" ht="27" customHeight="1">
      <x:c r="A106" s="6" t="str">
        <x:v>CAMERA_LIGHT_ENABLE</x:v>
      </x:c>
      <x:c r="B106" s="6" t="str">
        <x:v>Relay contact 14 to field load</x:v>
      </x:c>
      <x:c r="C106" s="6" t="str">
        <x:v>-LT200</x:v>
      </x:c>
      <x:c r="D106" s="6" t="str">
        <x:v>=FC01+FLD-LT200</x:v>
      </x:c>
      <x:c r="E106" s="6" t="str">
        <x:v>1</x:v>
      </x:c>
      <x:c r="F106" s="6" t="str">
        <x:v>C020</x:v>
      </x:c>
      <x:c r="G106" s="6" t="str">
        <x:v>1</x:v>
      </x:c>
      <x:c r="H106" s="6" t="str">
        <x:v>-LT200:1</x:v>
      </x:c>
      <x:c r="I106" s="6" t="str">
        <x:v>X102:19</x:v>
      </x:c>
      <x:c r="J106" s="6" t="str">
        <x:v>W0105</x:v>
      </x:c>
      <x:c r="K106" s="6" t="str">
        <x:v>-K213</x:v>
      </x:c>
      <x:c r="L106" s="6" t="str">
        <x:v>-A103</x:v>
      </x:c>
      <x:c r="M106" s="6" t="str">
        <x:v>=FC01+CP01-A103</x:v>
      </x:c>
      <x:c r="N106" s="6" t="str">
        <x:v>13</x:v>
      </x:c>
      <x:c r="O106" s="6" t="str">
        <x:v>Q1.5</x:v>
      </x:c>
      <x:c r="P106" s="6" t="str">
        <x:v>+24VDC switched</x:v>
      </x:c>
      <x:c r="Q106" s="6" t="str"/>
      <x:c r="R106" s="6" t="str"/>
      <x:c r="S106" s="6" t="str"/>
      <x:c r="T106" s="6" t="str">
        <x:v>BK</x:v>
      </x:c>
      <x:c r="U106" s="6" t="str">
        <x:v>=FC01+CP01-K213:14</x:v>
      </x:c>
      <x:c r="V106" s="6" t="str">
        <x:v>Controlled Rev-D topology; conductor size/terminal family and native QET continuity verification remain open</x:v>
      </x:c>
    </x:row>
    <x:row r="107" ht="27" customHeight="1">
      <x:c r="A107" s="6" t="str">
        <x:v>CAMERA_LIGHT_ENABLE</x:v>
      </x:c>
      <x:c r="B107" s="6" t="str">
        <x:v>Field load return</x:v>
      </x:c>
      <x:c r="C107" s="6" t="str">
        <x:v>-LT200</x:v>
      </x:c>
      <x:c r="D107" s="6" t="str">
        <x:v>=FC01+FLD-LT200</x:v>
      </x:c>
      <x:c r="E107" s="6" t="str">
        <x:v>2</x:v>
      </x:c>
      <x:c r="F107" s="6" t="str">
        <x:v>C020</x:v>
      </x:c>
      <x:c r="G107" s="6" t="str">
        <x:v>2</x:v>
      </x:c>
      <x:c r="H107" s="6" t="str">
        <x:v>-LT200:2</x:v>
      </x:c>
      <x:c r="I107" s="6" t="str">
        <x:v>X102:20</x:v>
      </x:c>
      <x:c r="J107" s="6" t="str">
        <x:v>W0106</x:v>
      </x:c>
      <x:c r="K107" s="6" t="str">
        <x:v>-K213</x:v>
      </x:c>
      <x:c r="L107" s="6" t="str">
        <x:v>-A103</x:v>
      </x:c>
      <x:c r="M107" s="6" t="str">
        <x:v>=FC01+CP01-A103</x:v>
      </x:c>
      <x:c r="N107" s="6" t="str">
        <x:v>13</x:v>
      </x:c>
      <x:c r="O107" s="6" t="str">
        <x:v>Q1.5</x:v>
      </x:c>
      <x:c r="P107" s="6" t="str">
        <x:v>0V</x:v>
      </x:c>
      <x:c r="Q107" s="6" t="str">
        <x:v>X0:0V</x:v>
      </x:c>
      <x:c r="R107" s="6" t="str"/>
      <x:c r="S107" s="6" t="str"/>
      <x:c r="T107" s="6" t="str">
        <x:v>BU</x:v>
      </x:c>
      <x:c r="U107" s="6" t="str">
        <x:v>=FC01+CP01-X0:0V</x:v>
      </x:c>
      <x:c r="V107" s="6" t="str">
        <x:v>Controlled Rev-D topology; conductor size/terminal family and native QET continuity verification remain open</x:v>
      </x:c>
    </x:row>
    <x:row r="108" ht="27" customHeight="1">
      <x:c r="A108" s="6" t="str">
        <x:v>FLOW_1_MA_RAW</x:v>
      </x:c>
      <x:c r="B108" s="6" t="str">
        <x:v>4-20 mA signal positive</x:v>
      </x:c>
      <x:c r="C108" s="6" t="str">
        <x:v>-FT100</x:v>
      </x:c>
      <x:c r="D108" s="6" t="str">
        <x:v>=FC01+FLD-FT100</x:v>
      </x:c>
      <x:c r="E108" s="6" t="str">
        <x:v>SIG+</x:v>
      </x:c>
      <x:c r="F108" s="6" t="str">
        <x:v>C021</x:v>
      </x:c>
      <x:c r="G108" s="6" t="str">
        <x:v>1</x:v>
      </x:c>
      <x:c r="H108" s="6" t="str">
        <x:v>-FT100:SIG+</x:v>
      </x:c>
      <x:c r="I108" s="6" t="str">
        <x:v>X102:21</x:v>
      </x:c>
      <x:c r="J108" s="6" t="str">
        <x:v>W0107</x:v>
      </x:c>
      <x:c r="K108" s="6" t="str"/>
      <x:c r="L108" s="6" t="str">
        <x:v>-A104</x:v>
      </x:c>
      <x:c r="M108" s="6" t="str">
        <x:v>=FC01+CP01-A104</x:v>
      </x:c>
      <x:c r="N108" s="6" t="str">
        <x:v>0</x:v>
      </x:c>
      <x:c r="O108" s="6" t="str">
        <x:v>IW64</x:v>
      </x:c>
      <x:c r="P108" s="6" t="str">
        <x:v>4-20mA</x:v>
      </x:c>
      <x:c r="Q108" s="6" t="str"/>
      <x:c r="R108" s="6" t="str"/>
      <x:c r="S108" s="6" t="str"/>
      <x:c r="T108" s="6" t="str">
        <x:v>WH</x:v>
      </x:c>
      <x:c r="U108" s="6" t="str">
        <x:v>=FC01+CP01-A104:0 AI+</x:v>
      </x:c>
      <x:c r="V108" s="6" t="str">
        <x:v>Controlled Rev-D topology; conductor size/terminal family and native QET continuity verification remain open</x:v>
      </x:c>
    </x:row>
    <x:row r="109" ht="27" customHeight="1">
      <x:c r="A109" s="6" t="str">
        <x:v>FLOW_1_MA_RAW</x:v>
      </x:c>
      <x:c r="B109" s="6" t="str">
        <x:v>Instrument supply</x:v>
      </x:c>
      <x:c r="C109" s="6" t="str">
        <x:v>-FT100</x:v>
      </x:c>
      <x:c r="D109" s="6" t="str">
        <x:v>=FC01+FLD-FT100</x:v>
      </x:c>
      <x:c r="E109" s="6" t="str">
        <x:v>+</x:v>
      </x:c>
      <x:c r="F109" s="6" t="str">
        <x:v>C021</x:v>
      </x:c>
      <x:c r="G109" s="6" t="str">
        <x:v>2</x:v>
      </x:c>
      <x:c r="H109" s="6" t="str">
        <x:v>-FT100:+</x:v>
      </x:c>
      <x:c r="I109" s="6" t="str">
        <x:v>X102:22</x:v>
      </x:c>
      <x:c r="J109" s="6" t="str">
        <x:v>W0108</x:v>
      </x:c>
      <x:c r="K109" s="6" t="str"/>
      <x:c r="L109" s="6" t="str">
        <x:v>-A104</x:v>
      </x:c>
      <x:c r="M109" s="6" t="str">
        <x:v>=FC01+CP01-A104</x:v>
      </x:c>
      <x:c r="N109" s="6" t="str">
        <x:v>0</x:v>
      </x:c>
      <x:c r="O109" s="6" t="str">
        <x:v>IW64</x:v>
      </x:c>
      <x:c r="P109" s="6" t="str">
        <x:v>+24VDC fused</x:v>
      </x:c>
      <x:c r="Q109" s="6" t="str"/>
      <x:c r="R109" s="6" t="str"/>
      <x:c r="S109" s="6" t="str"/>
      <x:c r="T109" s="6" t="str">
        <x:v>RD</x:v>
      </x:c>
      <x:c r="U109" s="6" t="str">
        <x:v>=FC01+CP01-X24:+24V</x:v>
      </x:c>
      <x:c r="V109" s="6" t="str">
        <x:v>Controlled Rev-D topology; conductor size/terminal family and native QET continuity verification remain open</x:v>
      </x:c>
    </x:row>
    <x:row r="110" ht="27" customHeight="1">
      <x:c r="A110" s="6" t="str">
        <x:v>FLOW_1_MA_RAW</x:v>
      </x:c>
      <x:c r="B110" s="6" t="str">
        <x:v>Analog signal return</x:v>
      </x:c>
      <x:c r="C110" s="6" t="str">
        <x:v>-FT100</x:v>
      </x:c>
      <x:c r="D110" s="6" t="str">
        <x:v>=FC01+FLD-FT100</x:v>
      </x:c>
      <x:c r="E110" s="6" t="str">
        <x:v>SIG-</x:v>
      </x:c>
      <x:c r="F110" s="6" t="str">
        <x:v>C021</x:v>
      </x:c>
      <x:c r="G110" s="6" t="str">
        <x:v>3</x:v>
      </x:c>
      <x:c r="H110" s="6" t="str">
        <x:v>-FT100:SIG-</x:v>
      </x:c>
      <x:c r="I110" s="6" t="str">
        <x:v>X102:23</x:v>
      </x:c>
      <x:c r="J110" s="6" t="str">
        <x:v>W0109</x:v>
      </x:c>
      <x:c r="K110" s="6" t="str"/>
      <x:c r="L110" s="6" t="str">
        <x:v>-A104</x:v>
      </x:c>
      <x:c r="M110" s="6" t="str">
        <x:v>=FC01+CP01-A104</x:v>
      </x:c>
      <x:c r="N110" s="6" t="str">
        <x:v>0</x:v>
      </x:c>
      <x:c r="O110" s="6" t="str">
        <x:v>IW64</x:v>
      </x:c>
      <x:c r="P110" s="6" t="str">
        <x:v>0V analog</x:v>
      </x:c>
      <x:c r="Q110" s="6" t="str">
        <x:v>X0:MANA</x:v>
      </x:c>
      <x:c r="R110" s="6" t="str"/>
      <x:c r="S110" s="6" t="str"/>
      <x:c r="T110" s="6" t="str">
        <x:v>BU</x:v>
      </x:c>
      <x:c r="U110" s="6" t="str">
        <x:v>=FC01+CP01-A104:0 MANA</x:v>
      </x:c>
      <x:c r="V110" s="6" t="str">
        <x:v>Controlled Rev-D topology; conductor size/terminal family and native QET continuity verification remain open</x:v>
      </x:c>
    </x:row>
    <x:row r="111" ht="27" customHeight="1">
      <x:c r="A111" s="6" t="str">
        <x:v>FLOW_1_MA_RAW</x:v>
      </x:c>
      <x:c r="B111" s="6" t="str">
        <x:v>Cable shield</x:v>
      </x:c>
      <x:c r="C111" s="6" t="str">
        <x:v>-FT100</x:v>
      </x:c>
      <x:c r="D111" s="6" t="str">
        <x:v>=FC01+FLD-FT100</x:v>
      </x:c>
      <x:c r="E111" s="6" t="str">
        <x:v>SH</x:v>
      </x:c>
      <x:c r="F111" s="6" t="str">
        <x:v>C021</x:v>
      </x:c>
      <x:c r="G111" s="6" t="str">
        <x:v>SH</x:v>
      </x:c>
      <x:c r="H111" s="6" t="str">
        <x:v>-FT100:SH</x:v>
      </x:c>
      <x:c r="I111" s="6" t="str">
        <x:v>X102:24</x:v>
      </x:c>
      <x:c r="J111" s="6" t="str">
        <x:v>W0110</x:v>
      </x:c>
      <x:c r="K111" s="6" t="str"/>
      <x:c r="L111" s="6" t="str">
        <x:v>-A104</x:v>
      </x:c>
      <x:c r="M111" s="6" t="str">
        <x:v>=FC01+CP01-A104</x:v>
      </x:c>
      <x:c r="N111" s="6" t="str">
        <x:v>0</x:v>
      </x:c>
      <x:c r="O111" s="6" t="str">
        <x:v>IW64</x:v>
      </x:c>
      <x:c r="P111" s="6" t="str">
        <x:v>FE</x:v>
      </x:c>
      <x:c r="Q111" s="6" t="str"/>
      <x:c r="R111" s="6" t="str">
        <x:v>SC100 panel-end only</x:v>
      </x:c>
      <x:c r="S111" s="6" t="str"/>
      <x:c r="T111" s="6" t="str"/>
      <x:c r="U111" s="6" t="str">
        <x:v>=FC01+CP01-SC100:1</x:v>
      </x:c>
      <x:c r="V111" s="6" t="str">
        <x:v>Controlled Rev-D topology; conductor size/terminal family and native QET continuity verification remain open</x:v>
      </x:c>
    </x:row>
    <x:row r="112" ht="27" customHeight="1">
      <x:c r="A112" s="6" t="str">
        <x:v>FLOW_2_MA_RAW</x:v>
      </x:c>
      <x:c r="B112" s="6" t="str">
        <x:v>4-20 mA signal positive</x:v>
      </x:c>
      <x:c r="C112" s="6" t="str">
        <x:v>-FT101</x:v>
      </x:c>
      <x:c r="D112" s="6" t="str">
        <x:v>=FC01+FLD-FT101</x:v>
      </x:c>
      <x:c r="E112" s="6" t="str">
        <x:v>SIG+</x:v>
      </x:c>
      <x:c r="F112" s="6" t="str">
        <x:v>C022</x:v>
      </x:c>
      <x:c r="G112" s="6" t="str">
        <x:v>1</x:v>
      </x:c>
      <x:c r="H112" s="6" t="str">
        <x:v>-FT101:SIG+</x:v>
      </x:c>
      <x:c r="I112" s="6" t="str">
        <x:v>X103:1</x:v>
      </x:c>
      <x:c r="J112" s="6" t="str">
        <x:v>W0111</x:v>
      </x:c>
      <x:c r="K112" s="6" t="str"/>
      <x:c r="L112" s="6" t="str">
        <x:v>-A104</x:v>
      </x:c>
      <x:c r="M112" s="6" t="str">
        <x:v>=FC01+CP01-A104</x:v>
      </x:c>
      <x:c r="N112" s="6" t="str">
        <x:v>1</x:v>
      </x:c>
      <x:c r="O112" s="6" t="str">
        <x:v>IW66</x:v>
      </x:c>
      <x:c r="P112" s="6" t="str">
        <x:v>4-20mA</x:v>
      </x:c>
      <x:c r="Q112" s="6" t="str"/>
      <x:c r="R112" s="6" t="str"/>
      <x:c r="S112" s="6" t="str"/>
      <x:c r="T112" s="6" t="str">
        <x:v>WH</x:v>
      </x:c>
      <x:c r="U112" s="6" t="str">
        <x:v>=FC01+CP01-A104:1 AI+</x:v>
      </x:c>
      <x:c r="V112" s="6" t="str">
        <x:v>Controlled Rev-D topology; conductor size/terminal family and native QET continuity verification remain open</x:v>
      </x:c>
    </x:row>
    <x:row r="113" ht="27" customHeight="1">
      <x:c r="A113" s="6" t="str">
        <x:v>FLOW_2_MA_RAW</x:v>
      </x:c>
      <x:c r="B113" s="6" t="str">
        <x:v>Instrument supply</x:v>
      </x:c>
      <x:c r="C113" s="6" t="str">
        <x:v>-FT101</x:v>
      </x:c>
      <x:c r="D113" s="6" t="str">
        <x:v>=FC01+FLD-FT101</x:v>
      </x:c>
      <x:c r="E113" s="6" t="str">
        <x:v>+</x:v>
      </x:c>
      <x:c r="F113" s="6" t="str">
        <x:v>C022</x:v>
      </x:c>
      <x:c r="G113" s="6" t="str">
        <x:v>2</x:v>
      </x:c>
      <x:c r="H113" s="6" t="str">
        <x:v>-FT101:+</x:v>
      </x:c>
      <x:c r="I113" s="6" t="str">
        <x:v>X103:2</x:v>
      </x:c>
      <x:c r="J113" s="6" t="str">
        <x:v>W0112</x:v>
      </x:c>
      <x:c r="K113" s="6" t="str"/>
      <x:c r="L113" s="6" t="str">
        <x:v>-A104</x:v>
      </x:c>
      <x:c r="M113" s="6" t="str">
        <x:v>=FC01+CP01-A104</x:v>
      </x:c>
      <x:c r="N113" s="6" t="str">
        <x:v>1</x:v>
      </x:c>
      <x:c r="O113" s="6" t="str">
        <x:v>IW66</x:v>
      </x:c>
      <x:c r="P113" s="6" t="str">
        <x:v>+24VDC fused</x:v>
      </x:c>
      <x:c r="Q113" s="6" t="str"/>
      <x:c r="R113" s="6" t="str"/>
      <x:c r="S113" s="6" t="str"/>
      <x:c r="T113" s="6" t="str">
        <x:v>RD</x:v>
      </x:c>
      <x:c r="U113" s="6" t="str">
        <x:v>=FC01+CP01-X24:+24V</x:v>
      </x:c>
      <x:c r="V113" s="6" t="str">
        <x:v>Controlled Rev-D topology; conductor size/terminal family and native QET continuity verification remain open</x:v>
      </x:c>
    </x:row>
    <x:row r="114" ht="27" customHeight="1">
      <x:c r="A114" s="6" t="str">
        <x:v>FLOW_2_MA_RAW</x:v>
      </x:c>
      <x:c r="B114" s="6" t="str">
        <x:v>Analog signal return</x:v>
      </x:c>
      <x:c r="C114" s="6" t="str">
        <x:v>-FT101</x:v>
      </x:c>
      <x:c r="D114" s="6" t="str">
        <x:v>=FC01+FLD-FT101</x:v>
      </x:c>
      <x:c r="E114" s="6" t="str">
        <x:v>SIG-</x:v>
      </x:c>
      <x:c r="F114" s="6" t="str">
        <x:v>C022</x:v>
      </x:c>
      <x:c r="G114" s="6" t="str">
        <x:v>3</x:v>
      </x:c>
      <x:c r="H114" s="6" t="str">
        <x:v>-FT101:SIG-</x:v>
      </x:c>
      <x:c r="I114" s="6" t="str">
        <x:v>X103:3</x:v>
      </x:c>
      <x:c r="J114" s="6" t="str">
        <x:v>W0113</x:v>
      </x:c>
      <x:c r="K114" s="6" t="str"/>
      <x:c r="L114" s="6" t="str">
        <x:v>-A104</x:v>
      </x:c>
      <x:c r="M114" s="6" t="str">
        <x:v>=FC01+CP01-A104</x:v>
      </x:c>
      <x:c r="N114" s="6" t="str">
        <x:v>1</x:v>
      </x:c>
      <x:c r="O114" s="6" t="str">
        <x:v>IW66</x:v>
      </x:c>
      <x:c r="P114" s="6" t="str">
        <x:v>0V analog</x:v>
      </x:c>
      <x:c r="Q114" s="6" t="str">
        <x:v>X0:MANA</x:v>
      </x:c>
      <x:c r="R114" s="6" t="str"/>
      <x:c r="S114" s="6" t="str"/>
      <x:c r="T114" s="6" t="str">
        <x:v>BU</x:v>
      </x:c>
      <x:c r="U114" s="6" t="str">
        <x:v>=FC01+CP01-A104:1 MANA</x:v>
      </x:c>
      <x:c r="V114" s="6" t="str">
        <x:v>Controlled Rev-D topology; conductor size/terminal family and native QET continuity verification remain open</x:v>
      </x:c>
    </x:row>
    <x:row r="115" ht="27" customHeight="1">
      <x:c r="A115" s="6" t="str">
        <x:v>FLOW_2_MA_RAW</x:v>
      </x:c>
      <x:c r="B115" s="6" t="str">
        <x:v>Cable shield</x:v>
      </x:c>
      <x:c r="C115" s="6" t="str">
        <x:v>-FT101</x:v>
      </x:c>
      <x:c r="D115" s="6" t="str">
        <x:v>=FC01+FLD-FT101</x:v>
      </x:c>
      <x:c r="E115" s="6" t="str">
        <x:v>SH</x:v>
      </x:c>
      <x:c r="F115" s="6" t="str">
        <x:v>C022</x:v>
      </x:c>
      <x:c r="G115" s="6" t="str">
        <x:v>SH</x:v>
      </x:c>
      <x:c r="H115" s="6" t="str">
        <x:v>-FT101:SH</x:v>
      </x:c>
      <x:c r="I115" s="6" t="str">
        <x:v>X103:4</x:v>
      </x:c>
      <x:c r="J115" s="6" t="str">
        <x:v>W0114</x:v>
      </x:c>
      <x:c r="K115" s="6" t="str"/>
      <x:c r="L115" s="6" t="str">
        <x:v>-A104</x:v>
      </x:c>
      <x:c r="M115" s="6" t="str">
        <x:v>=FC01+CP01-A104</x:v>
      </x:c>
      <x:c r="N115" s="6" t="str">
        <x:v>1</x:v>
      </x:c>
      <x:c r="O115" s="6" t="str">
        <x:v>IW66</x:v>
      </x:c>
      <x:c r="P115" s="6" t="str">
        <x:v>FE</x:v>
      </x:c>
      <x:c r="Q115" s="6" t="str"/>
      <x:c r="R115" s="6" t="str">
        <x:v>SC100 panel-end only</x:v>
      </x:c>
      <x:c r="S115" s="6" t="str"/>
      <x:c r="T115" s="6" t="str"/>
      <x:c r="U115" s="6" t="str">
        <x:v>=FC01+CP01-SC100:1</x:v>
      </x:c>
      <x:c r="V115" s="6" t="str">
        <x:v>Controlled Rev-D topology; conductor size/terminal family and native QET continuity verification remain open</x:v>
      </x:c>
    </x:row>
    <x:row r="116" ht="27" customHeight="1">
      <x:c r="A116" s="6" t="str">
        <x:v>FLOW_1_PULSE</x:v>
      </x:c>
      <x:c r="B116" s="6" t="str">
        <x:v>Counter pulse</x:v>
      </x:c>
      <x:c r="C116" s="6" t="str">
        <x:v>-FT100</x:v>
      </x:c>
      <x:c r="D116" s="6" t="str">
        <x:v>=FC01+FLD-FT100</x:v>
      </x:c>
      <x:c r="E116" s="6" t="str">
        <x:v>PULSE</x:v>
      </x:c>
      <x:c r="F116" s="6" t="str">
        <x:v>C021</x:v>
      </x:c>
      <x:c r="G116" s="6" t="str">
        <x:v>4</x:v>
      </x:c>
      <x:c r="H116" s="6" t="str">
        <x:v>-FT100:PULSE</x:v>
      </x:c>
      <x:c r="I116" s="6" t="str">
        <x:v>X103:5</x:v>
      </x:c>
      <x:c r="J116" s="6" t="str">
        <x:v>W0115</x:v>
      </x:c>
      <x:c r="K116" s="6" t="str"/>
      <x:c r="L116" s="6" t="str">
        <x:v>-A101</x:v>
      </x:c>
      <x:c r="M116" s="6" t="str">
        <x:v>=FC01+CP01-A101</x:v>
      </x:c>
      <x:c r="N116" s="6" t="str">
        <x:v>CH0 A</x:v>
      </x:c>
      <x:c r="O116" s="6" t="str">
        <x:v>TM1.CH0.A</x:v>
      </x:c>
      <x:c r="P116" s="6" t="str">
        <x:v>24 V pulse</x:v>
      </x:c>
      <x:c r="Q116" s="6" t="str"/>
      <x:c r="R116" s="6" t="str"/>
      <x:c r="S116" s="6" t="str"/>
      <x:c r="T116" s="6" t="str">
        <x:v>WH</x:v>
      </x:c>
      <x:c r="U116" s="6" t="str">
        <x:v>=FC01+CP01-A101:CH0 A CLK</x:v>
      </x:c>
      <x:c r="V116" s="6" t="str">
        <x:v>Controlled Rev-D topology; conductor size/terminal family and native QET continuity verification remain open</x:v>
      </x:c>
    </x:row>
    <x:row r="117" ht="27" customHeight="1">
      <x:c r="A117" s="6" t="str">
        <x:v>FLOW_1_PULSE</x:v>
      </x:c>
      <x:c r="B117" s="6" t="str">
        <x:v>Counter reference</x:v>
      </x:c>
      <x:c r="C117" s="6" t="str">
        <x:v>-FT100</x:v>
      </x:c>
      <x:c r="D117" s="6" t="str">
        <x:v>=FC01+FLD-FT100</x:v>
      </x:c>
      <x:c r="E117" s="6" t="str">
        <x:v>0V</x:v>
      </x:c>
      <x:c r="F117" s="6" t="str">
        <x:v>C021</x:v>
      </x:c>
      <x:c r="G117" s="6" t="str">
        <x:v>5</x:v>
      </x:c>
      <x:c r="H117" s="6" t="str">
        <x:v>-FT100:0V</x:v>
      </x:c>
      <x:c r="I117" s="6" t="str">
        <x:v>X103:6</x:v>
      </x:c>
      <x:c r="J117" s="6" t="str">
        <x:v>W0116</x:v>
      </x:c>
      <x:c r="K117" s="6" t="str"/>
      <x:c r="L117" s="6" t="str">
        <x:v>-A101</x:v>
      </x:c>
      <x:c r="M117" s="6" t="str">
        <x:v>=FC01+CP01-A101</x:v>
      </x:c>
      <x:c r="N117" s="6" t="str">
        <x:v>CH0 A</x:v>
      </x:c>
      <x:c r="O117" s="6" t="str">
        <x:v>TM1.CH0.A</x:v>
      </x:c>
      <x:c r="P117" s="6" t="str">
        <x:v>0V</x:v>
      </x:c>
      <x:c r="Q117" s="6" t="str">
        <x:v>X0:0V</x:v>
      </x:c>
      <x:c r="R117" s="6" t="str"/>
      <x:c r="S117" s="6" t="str"/>
      <x:c r="T117" s="6" t="str">
        <x:v>BU</x:v>
      </x:c>
      <x:c r="U117" s="6" t="str">
        <x:v>=FC01+CP01-A101:CH0 A M</x:v>
      </x:c>
      <x:c r="V117" s="6" t="str">
        <x:v>Controlled Rev-D topology; conductor size/terminal family and native QET continuity verification remain open</x:v>
      </x:c>
    </x:row>
    <x:row r="118" ht="27" customHeight="1">
      <x:c r="A118" s="6" t="str">
        <x:v>FLOW_2_PULSE</x:v>
      </x:c>
      <x:c r="B118" s="6" t="str">
        <x:v>Counter pulse</x:v>
      </x:c>
      <x:c r="C118" s="6" t="str">
        <x:v>-FT101</x:v>
      </x:c>
      <x:c r="D118" s="6" t="str">
        <x:v>=FC01+FLD-FT101</x:v>
      </x:c>
      <x:c r="E118" s="6" t="str">
        <x:v>PULSE</x:v>
      </x:c>
      <x:c r="F118" s="6" t="str">
        <x:v>C022</x:v>
      </x:c>
      <x:c r="G118" s="6" t="str">
        <x:v>4</x:v>
      </x:c>
      <x:c r="H118" s="6" t="str">
        <x:v>-FT101:PULSE</x:v>
      </x:c>
      <x:c r="I118" s="6" t="str">
        <x:v>X103:7</x:v>
      </x:c>
      <x:c r="J118" s="6" t="str">
        <x:v>W0117</x:v>
      </x:c>
      <x:c r="K118" s="6" t="str"/>
      <x:c r="L118" s="6" t="str">
        <x:v>-A101</x:v>
      </x:c>
      <x:c r="M118" s="6" t="str">
        <x:v>=FC01+CP01-A101</x:v>
      </x:c>
      <x:c r="N118" s="6" t="str">
        <x:v>CH1 A</x:v>
      </x:c>
      <x:c r="O118" s="6" t="str">
        <x:v>TM1.CH1.A</x:v>
      </x:c>
      <x:c r="P118" s="6" t="str">
        <x:v>24 V pulse</x:v>
      </x:c>
      <x:c r="Q118" s="6" t="str"/>
      <x:c r="R118" s="6" t="str"/>
      <x:c r="S118" s="6" t="str"/>
      <x:c r="T118" s="6" t="str">
        <x:v>WH</x:v>
      </x:c>
      <x:c r="U118" s="6" t="str">
        <x:v>=FC01+CP01-A101:CH1 A CLK</x:v>
      </x:c>
      <x:c r="V118" s="6" t="str">
        <x:v>Controlled Rev-D topology; conductor size/terminal family and native QET continuity verification remain open</x:v>
      </x:c>
    </x:row>
    <x:row r="119" ht="27" customHeight="1">
      <x:c r="A119" s="6" t="str">
        <x:v>FLOW_2_PULSE</x:v>
      </x:c>
      <x:c r="B119" s="6" t="str">
        <x:v>Counter reference</x:v>
      </x:c>
      <x:c r="C119" s="6" t="str">
        <x:v>-FT101</x:v>
      </x:c>
      <x:c r="D119" s="6" t="str">
        <x:v>=FC01+FLD-FT101</x:v>
      </x:c>
      <x:c r="E119" s="6" t="str">
        <x:v>0V</x:v>
      </x:c>
      <x:c r="F119" s="6" t="str">
        <x:v>C022</x:v>
      </x:c>
      <x:c r="G119" s="6" t="str">
        <x:v>5</x:v>
      </x:c>
      <x:c r="H119" s="6" t="str">
        <x:v>-FT101:0V</x:v>
      </x:c>
      <x:c r="I119" s="6" t="str">
        <x:v>X103:8</x:v>
      </x:c>
      <x:c r="J119" s="6" t="str">
        <x:v>W0118</x:v>
      </x:c>
      <x:c r="K119" s="6" t="str"/>
      <x:c r="L119" s="6" t="str">
        <x:v>-A101</x:v>
      </x:c>
      <x:c r="M119" s="6" t="str">
        <x:v>=FC01+CP01-A101</x:v>
      </x:c>
      <x:c r="N119" s="6" t="str">
        <x:v>CH1 A</x:v>
      </x:c>
      <x:c r="O119" s="6" t="str">
        <x:v>TM1.CH1.A</x:v>
      </x:c>
      <x:c r="P119" s="6" t="str">
        <x:v>0V</x:v>
      </x:c>
      <x:c r="Q119" s="6" t="str">
        <x:v>X0:0V</x:v>
      </x:c>
      <x:c r="R119" s="6" t="str"/>
      <x:c r="S119" s="6" t="str"/>
      <x:c r="T119" s="6" t="str">
        <x:v>BU</x:v>
      </x:c>
      <x:c r="U119" s="6" t="str">
        <x:v>=FC01+CP01-A101:CH1 A M</x:v>
      </x:c>
      <x:c r="V119" s="6" t="str">
        <x:v>Controlled Rev-D topology; conductor size/terminal family and native QET continuity verification remain open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33.75" hidden="0" customWidth="1"/>
    <x:col min="4" max="4" width="19.3799991607666" hidden="0" customWidth="1"/>
    <x:col min="5" max="5" width="19.3799991607666" hidden="0" customWidth="1"/>
    <x:col min="6" max="6" width="10.630000114440918" hidden="0" customWidth="1"/>
    <x:col min="7" max="7" width="22.5" hidden="0" customWidth="1"/>
    <x:col min="8" max="8" width="19.3799991607666" hidden="0" customWidth="1"/>
    <x:col min="9" max="9" width="33.75" hidden="0" customWidth="1"/>
    <x:col min="10" max="10" width="19.3799991607666" hidden="0" customWidth="1"/>
  </x:cols>
  <x:sheetData>
    <x:row r="1" ht="31.5" customHeight="1">
      <x:c r="A1" s="12" t="str">
        <x:v>item</x:v>
      </x:c>
      <x:c r="B1" s="12" t="str">
        <x:v>tag</x:v>
      </x:c>
      <x:c r="C1" s="12" t="str">
        <x:v>description</x:v>
      </x:c>
      <x:c r="D1" s="12" t="str">
        <x:v>manufacturer</x:v>
      </x:c>
      <x:c r="E1" s="12" t="str">
        <x:v>order_no</x:v>
      </x:c>
      <x:c r="F1" s="12" t="str">
        <x:v>qty</x:v>
      </x:c>
      <x:c r="G1" s="12" t="str">
        <x:v>selection_status</x:v>
      </x:c>
      <x:c r="H1" s="12" t="str">
        <x:v>scope</x:v>
      </x:c>
      <x:c r="I1" s="12" t="str">
        <x:v>basis_or_blocker</x:v>
      </x:c>
      <x:c r="J1" s="12" t="str">
        <x:v>full_designation</x:v>
      </x:c>
    </x:row>
    <x:row r="2" ht="54" customHeight="1">
      <x:c r="A2" s="6" t="str">
        <x:v>BOM-001</x:v>
      </x:c>
      <x:c r="B2" s="6" t="str">
        <x:v>-A100</x:v>
      </x:c>
      <x:c r="C2" s="6" t="str">
        <x:v>SIMATIC S7-1500 CPU 1511-1 PN</x:v>
      </x:c>
      <x:c r="D2" s="6" t="str">
        <x:v>Siemens</x:v>
      </x:c>
      <x:c r="E2" s="6" t="str">
        <x:v>6ES7511-1AL03-0AB0</x:v>
      </x:c>
      <x:c r="F2" s="6" t="str">
        <x:v>1</x:v>
      </x:c>
      <x:c r="G2" s="6" t="str">
        <x:v>Selected baseline</x:v>
      </x:c>
      <x:c r="H2" s="6" t="str">
        <x:v>Panel/field hardware</x:v>
      </x:c>
      <x:c r="I2" s="6" t="str">
        <x:v>Native catalog/configuration and delivered hardware state not yet verified</x:v>
      </x:c>
      <x:c r="J2" s="6" t="str">
        <x:v>=FC01+CP01-A100</x:v>
      </x:c>
    </x:row>
    <x:row r="3" ht="54" customHeight="1">
      <x:c r="A3" s="6" t="str">
        <x:v>BOM-002</x:v>
      </x:c>
      <x:c r="B3" s="6" t="str">
        <x:v>-A101</x:v>
      </x:c>
      <x:c r="C3" s="6" t="str">
        <x:v>TM Count 2x24V</x:v>
      </x:c>
      <x:c r="D3" s="6" t="str">
        <x:v>Siemens</x:v>
      </x:c>
      <x:c r="E3" s="6" t="str">
        <x:v>6ES7550-1AA01-0AB0</x:v>
      </x:c>
      <x:c r="F3" s="6" t="str">
        <x:v>1</x:v>
      </x:c>
      <x:c r="G3" s="6" t="str">
        <x:v>Selected baseline</x:v>
      </x:c>
      <x:c r="H3" s="6" t="str">
        <x:v>Panel/field hardware</x:v>
      </x:c>
      <x:c r="I3" s="6" t="str">
        <x:v>Two channels selected; TO configuration and K-factor inputs open</x:v>
      </x:c>
      <x:c r="J3" s="6" t="str">
        <x:v>=FC01+CP01-A101</x:v>
      </x:c>
    </x:row>
    <x:row r="4" ht="54" customHeight="1">
      <x:c r="A4" s="6" t="str">
        <x:v>BOM-003</x:v>
      </x:c>
      <x:c r="B4" s="6" t="str">
        <x:v>-A102</x:v>
      </x:c>
      <x:c r="C4" s="6" t="str">
        <x:v>DI 32x24V DC HF</x:v>
      </x:c>
      <x:c r="D4" s="6" t="str">
        <x:v>Siemens</x:v>
      </x:c>
      <x:c r="E4" s="6" t="str">
        <x:v>6ES7521-1BL00-0AB0</x:v>
      </x:c>
      <x:c r="F4" s="6" t="str">
        <x:v>1</x:v>
      </x:c>
      <x:c r="G4" s="6" t="str">
        <x:v>Selected baseline</x:v>
      </x:c>
      <x:c r="H4" s="6" t="str">
        <x:v>Panel/field hardware</x:v>
      </x:c>
      <x:c r="I4" s="6" t="str">
        <x:v>Front connector and channel parameters included separately</x:v>
      </x:c>
      <x:c r="J4" s="6" t="str">
        <x:v>=FC01+CP01-A102</x:v>
      </x:c>
    </x:row>
    <x:row r="5" ht="54" customHeight="1">
      <x:c r="A5" s="6" t="str">
        <x:v>BOM-004</x:v>
      </x:c>
      <x:c r="B5" s="6" t="str">
        <x:v>-A103</x:v>
      </x:c>
      <x:c r="C5" s="6" t="str">
        <x:v>DQ 32x24V DC/0.5A HF</x:v>
      </x:c>
      <x:c r="D5" s="6" t="str">
        <x:v>Siemens</x:v>
      </x:c>
      <x:c r="E5" s="6" t="str">
        <x:v>6ES7522-1BL01-0AB0</x:v>
      </x:c>
      <x:c r="F5" s="6" t="str">
        <x:v>1</x:v>
      </x:c>
      <x:c r="G5" s="6" t="str">
        <x:v>Selected baseline</x:v>
      </x:c>
      <x:c r="H5" s="6" t="str">
        <x:v>Panel/field hardware</x:v>
      </x:c>
      <x:c r="I5" s="6" t="str">
        <x:v>Field loads use interposing relays</x:v>
      </x:c>
      <x:c r="J5" s="6" t="str">
        <x:v>=FC01+CP01-A103</x:v>
      </x:c>
    </x:row>
    <x:row r="6" ht="54" customHeight="1">
      <x:c r="A6" s="6" t="str">
        <x:v>BOM-005</x:v>
      </x:c>
      <x:c r="B6" s="6" t="str">
        <x:v>-A104</x:v>
      </x:c>
      <x:c r="C6" s="6" t="str">
        <x:v>AI 8xU/I HF</x:v>
      </x:c>
      <x:c r="D6" s="6" t="str">
        <x:v>Siemens</x:v>
      </x:c>
      <x:c r="E6" s="6" t="str">
        <x:v>6ES7531-7NF00-0AB0</x:v>
      </x:c>
      <x:c r="F6" s="6" t="str">
        <x:v>1</x:v>
      </x:c>
      <x:c r="G6" s="6" t="str">
        <x:v>Selected baseline</x:v>
      </x:c>
      <x:c r="H6" s="6" t="str">
        <x:v>Panel/field hardware</x:v>
      </x:c>
      <x:c r="I6" s="6" t="str">
        <x:v>4-20 mA channel diagnostics require native parameterization</x:v>
      </x:c>
      <x:c r="J6" s="6" t="str">
        <x:v>=FC01+CP01-A104</x:v>
      </x:c>
    </x:row>
    <x:row r="7" ht="54" customHeight="1">
      <x:c r="A7" s="6" t="str">
        <x:v>BOM-006</x:v>
      </x:c>
      <x:c r="B7" s="6" t="str">
        <x:v>-H100</x:v>
      </x:c>
      <x:c r="C7" s="6" t="str">
        <x:v>MTP700 Unified Comfort</x:v>
      </x:c>
      <x:c r="D7" s="6" t="str">
        <x:v>Siemens</x:v>
      </x:c>
      <x:c r="E7" s="6" t="str">
        <x:v>6AV2128-3GB06-0AX1</x:v>
      </x:c>
      <x:c r="F7" s="6" t="str">
        <x:v>1</x:v>
      </x:c>
      <x:c r="G7" s="6" t="str">
        <x:v>Selected baseline</x:v>
      </x:c>
      <x:c r="H7" s="6" t="str">
        <x:v>Panel/field hardware</x:v>
      </x:c>
      <x:c r="I7" s="6" t="str">
        <x:v>Door cutout 198.3 x 142 mm; native HMI project/compile open</x:v>
      </x:c>
      <x:c r="J7" s="6" t="str">
        <x:v>=FC01+CP01-H100</x:v>
      </x:c>
    </x:row>
    <x:row r="8" ht="54" customHeight="1">
      <x:c r="A8" s="6" t="str">
        <x:v>BOM-007</x:v>
      </x:c>
      <x:c r="B8" s="6" t="str">
        <x:v>-U100</x:v>
      </x:c>
      <x:c r="C8" s="6" t="str">
        <x:v>SINAMICS G120C PN 0.75 kW unfiltered</x:v>
      </x:c>
      <x:c r="D8" s="6" t="str">
        <x:v>Siemens</x:v>
      </x:c>
      <x:c r="E8" s="6" t="str">
        <x:v>6SL3210-1KE12-3UF2</x:v>
      </x:c>
      <x:c r="F8" s="6" t="str">
        <x:v>1</x:v>
      </x:c>
      <x:c r="G8" s="6" t="str">
        <x:v>Provisional</x:v>
      </x:c>
      <x:c r="H8" s="6" t="str">
        <x:v>Panel/field hardware</x:v>
      </x:c>
      <x:c r="I8" s="6" t="str">
        <x:v>Rating, envelope and clearances blocked by motor/mechanics and native Startdrive</x:v>
      </x:c>
      <x:c r="J8" s="6" t="str">
        <x:v>=FC01+CP01-U100</x:v>
      </x:c>
    </x:row>
    <x:row r="9" ht="54" customHeight="1">
      <x:c r="A9" s="6" t="str">
        <x:v>BOM-008</x:v>
      </x:c>
      <x:c r="B9" s="6" t="str">
        <x:v>-U101</x:v>
      </x:c>
      <x:c r="C9" s="6" t="str">
        <x:v>SINAMICS G120C PN 0.75 kW unfiltered</x:v>
      </x:c>
      <x:c r="D9" s="6" t="str">
        <x:v>Siemens</x:v>
      </x:c>
      <x:c r="E9" s="6" t="str">
        <x:v>6SL3210-1KE12-3UF2</x:v>
      </x:c>
      <x:c r="F9" s="6" t="str">
        <x:v>1</x:v>
      </x:c>
      <x:c r="G9" s="6" t="str">
        <x:v>Provisional</x:v>
      </x:c>
      <x:c r="H9" s="6" t="str">
        <x:v>Panel/field hardware</x:v>
      </x:c>
      <x:c r="I9" s="6" t="str">
        <x:v>Rating, envelope and clearances blocked by pump curve and motor data</x:v>
      </x:c>
      <x:c r="J9" s="6" t="str">
        <x:v>=FC01+CP01-U101</x:v>
      </x:c>
    </x:row>
    <x:row r="10" ht="54" customHeight="1">
      <x:c r="A10" s="6" t="str">
        <x:v>BOM-009</x:v>
      </x:c>
      <x:c r="B10" s="6" t="str">
        <x:v>-SW100</x:v>
      </x:c>
      <x:c r="C10" s="6" t="str">
        <x:v>SCALANCE XC208 managed</x:v>
      </x:c>
      <x:c r="D10" s="6" t="str">
        <x:v>Siemens</x:v>
      </x:c>
      <x:c r="E10" s="6" t="str">
        <x:v>6GK5208-0BA00-2AC2</x:v>
      </x:c>
      <x:c r="F10" s="6" t="str">
        <x:v>1</x:v>
      </x:c>
      <x:c r="G10" s="6" t="str">
        <x:v>Selected network baseline</x:v>
      </x:c>
      <x:c r="H10" s="6" t="str">
        <x:v>Panel/field hardware</x:v>
      </x:c>
      <x:c r="I10" s="6" t="str">
        <x:v>VLAN-capable Layer 2 switch; firewall/router required for inter-zone traffic</x:v>
      </x:c>
      <x:c r="J10" s="6" t="str">
        <x:v>=FC01+CP01-SW100</x:v>
      </x:c>
    </x:row>
    <x:row r="11" ht="54" customHeight="1">
      <x:c r="A11" s="6" t="str">
        <x:v>BOM-010</x:v>
      </x:c>
      <x:c r="B11" s="6" t="str">
        <x:v>-FW100</x:v>
      </x:c>
      <x:c r="C11" s="6" t="str">
        <x:v>SCALANCE S615 EEC</x:v>
      </x:c>
      <x:c r="D11" s="6" t="str">
        <x:v>Siemens</x:v>
      </x:c>
      <x:c r="E11" s="6" t="str">
        <x:v>6GK5615-0AA01-2AA2</x:v>
      </x:c>
      <x:c r="F11" s="6" t="str">
        <x:v>1</x:v>
      </x:c>
      <x:c r="G11" s="6" t="str">
        <x:v>Selected network baseline</x:v>
      </x:c>
      <x:c r="H11" s="6" t="str">
        <x:v>Panel/field hardware</x:v>
      </x:c>
      <x:c r="I11" s="6" t="str">
        <x:v>Exact width and site policy remain procurement/native gates</x:v>
      </x:c>
      <x:c r="J11" s="6" t="str">
        <x:v>=FC01+CP01-FW100</x:v>
      </x:c>
    </x:row>
    <x:row r="12" ht="54" customHeight="1">
      <x:c r="A12" s="6" t="str">
        <x:v>BOM-011</x:v>
      </x:c>
      <x:c r="B12" s="6" t="str">
        <x:v>-PC200</x:v>
      </x:c>
      <x:c r="C12" s="6" t="str">
        <x:v>Jetson Orin NX 16GB on industrial carrier</x:v>
      </x:c>
      <x:c r="D12" s="6" t="str">
        <x:v>NVIDIA</x:v>
      </x:c>
      <x:c r="E12" s="6" t="str"/>
      <x:c r="F12" s="6" t="str">
        <x:v>1</x:v>
      </x:c>
      <x:c r="G12" s="6" t="str">
        <x:v>Architecture only</x:v>
      </x:c>
      <x:c r="H12" s="6" t="str">
        <x:v>Panel/field hardware</x:v>
      </x:c>
      <x:c r="I12" s="6" t="str">
        <x:v>Carrier, thermals, power, EMC and lifecycle are open</x:v>
      </x:c>
      <x:c r="J12" s="6" t="str">
        <x:v>=FC01+CP01-PC200</x:v>
      </x:c>
    </x:row>
    <x:row r="13" ht="54" customHeight="1">
      <x:c r="A13" s="6" t="str">
        <x:v>BOM-012</x:v>
      </x:c>
      <x:c r="B13" s="6" t="str">
        <x:v>-MC100</x:v>
      </x:c>
      <x:c r="C13" s="6" t="str">
        <x:v>SIMATIC memory card; capacity to be selected after compiled project sizing</x:v>
      </x:c>
      <x:c r="D13" s="6" t="str">
        <x:v>Siemens</x:v>
      </x:c>
      <x:c r="E13" s="6" t="str"/>
      <x:c r="F13" s="6" t="str">
        <x:v>1</x:v>
      </x:c>
      <x:c r="G13" s="6" t="str">
        <x:v>TBD</x:v>
      </x:c>
      <x:c r="H13" s="6" t="str">
        <x:v>Panel</x:v>
      </x:c>
      <x:c r="I13" s="6" t="str">
        <x:v>Native compiled project size unavailable</x:v>
      </x:c>
      <x:c r="J13" s="6" t="str">
        <x:v>=FC01+CP01-MC100</x:v>
      </x:c>
    </x:row>
    <x:row r="14" ht="54" customHeight="1">
      <x:c r="A14" s="6" t="str">
        <x:v>BOM-013</x:v>
      </x:c>
      <x:c r="B14" s="6" t="str">
        <x:v>-RA100</x:v>
      </x:c>
      <x:c r="C14" s="6" t="str">
        <x:v>S7-1500 mounting rail and fixing hardware</x:v>
      </x:c>
      <x:c r="D14" s="6" t="str">
        <x:v>Siemens</x:v>
      </x:c>
      <x:c r="E14" s="6" t="str"/>
      <x:c r="F14" s="6" t="str">
        <x:v>1</x:v>
      </x:c>
      <x:c r="G14" s="6" t="str">
        <x:v>TBD</x:v>
      </x:c>
      <x:c r="H14" s="6" t="str">
        <x:v>Panel</x:v>
      </x:c>
      <x:c r="I14" s="6" t="str">
        <x:v>Rail length depends on final cabinet layout</x:v>
      </x:c>
      <x:c r="J14" s="6" t="str">
        <x:v>=FC01+CP01-RA100</x:v>
      </x:c>
    </x:row>
    <x:row r="15" ht="54" customHeight="1">
      <x:c r="A15" s="6" t="str">
        <x:v>BOM-014</x:v>
      </x:c>
      <x:c r="B15" s="6" t="str">
        <x:v>-FC100</x:v>
      </x:c>
      <x:c r="C15" s="6" t="str">
        <x:v>Front connector for DI module</x:v>
      </x:c>
      <x:c r="D15" s="6" t="str">
        <x:v>Siemens</x:v>
      </x:c>
      <x:c r="E15" s="6" t="str"/>
      <x:c r="F15" s="6" t="str">
        <x:v>1</x:v>
      </x:c>
      <x:c r="G15" s="6" t="str">
        <x:v>TBD</x:v>
      </x:c>
      <x:c r="H15" s="6" t="str">
        <x:v>Panel</x:v>
      </x:c>
      <x:c r="I15" s="6" t="str">
        <x:v>Exact accessory to be confirmed in TIA Selection Tool</x:v>
      </x:c>
      <x:c r="J15" s="6" t="str">
        <x:v>=FC01+CP01-FC100</x:v>
      </x:c>
    </x:row>
    <x:row r="16" ht="54" customHeight="1">
      <x:c r="A16" s="6" t="str">
        <x:v>BOM-015</x:v>
      </x:c>
      <x:c r="B16" s="6" t="str">
        <x:v>-FC101</x:v>
      </x:c>
      <x:c r="C16" s="6" t="str">
        <x:v>Front connector for DQ module</x:v>
      </x:c>
      <x:c r="D16" s="6" t="str">
        <x:v>Siemens</x:v>
      </x:c>
      <x:c r="E16" s="6" t="str"/>
      <x:c r="F16" s="6" t="str">
        <x:v>1</x:v>
      </x:c>
      <x:c r="G16" s="6" t="str">
        <x:v>TBD</x:v>
      </x:c>
      <x:c r="H16" s="6" t="str">
        <x:v>Panel</x:v>
      </x:c>
      <x:c r="I16" s="6" t="str">
        <x:v>Exact accessory to be confirmed in TIA Selection Tool</x:v>
      </x:c>
      <x:c r="J16" s="6" t="str">
        <x:v>=FC01+CP01-FC101</x:v>
      </x:c>
    </x:row>
    <x:row r="17" ht="54" customHeight="1">
      <x:c r="A17" s="6" t="str">
        <x:v>BOM-016</x:v>
      </x:c>
      <x:c r="B17" s="6" t="str">
        <x:v>-FC102</x:v>
      </x:c>
      <x:c r="C17" s="6" t="str">
        <x:v>Front connector for AI module</x:v>
      </x:c>
      <x:c r="D17" s="6" t="str">
        <x:v>Siemens</x:v>
      </x:c>
      <x:c r="E17" s="6" t="str"/>
      <x:c r="F17" s="6" t="str">
        <x:v>1</x:v>
      </x:c>
      <x:c r="G17" s="6" t="str">
        <x:v>TBD</x:v>
      </x:c>
      <x:c r="H17" s="6" t="str">
        <x:v>Panel</x:v>
      </x:c>
      <x:c r="I17" s="6" t="str">
        <x:v>Exact accessory to be confirmed in TIA Selection Tool</x:v>
      </x:c>
      <x:c r="J17" s="6" t="str">
        <x:v>=FC01+CP01-FC102</x:v>
      </x:c>
    </x:row>
    <x:row r="18" ht="54" customHeight="1">
      <x:c r="A18" s="6" t="str">
        <x:v>BOM-017</x:v>
      </x:c>
      <x:c r="B18" s="6" t="str">
        <x:v>-FC103</x:v>
      </x:c>
      <x:c r="C18" s="6" t="str">
        <x:v>Front connector for TM Count module</x:v>
      </x:c>
      <x:c r="D18" s="6" t="str">
        <x:v>Siemens</x:v>
      </x:c>
      <x:c r="E18" s="6" t="str"/>
      <x:c r="F18" s="6" t="str">
        <x:v>1</x:v>
      </x:c>
      <x:c r="G18" s="6" t="str">
        <x:v>TBD</x:v>
      </x:c>
      <x:c r="H18" s="6" t="str">
        <x:v>Panel</x:v>
      </x:c>
      <x:c r="I18" s="6" t="str">
        <x:v>Exact accessory to be confirmed in TIA Selection Tool</x:v>
      </x:c>
      <x:c r="J18" s="6" t="str">
        <x:v>=FC01+CP01-FC103</x:v>
      </x:c>
    </x:row>
    <x:row r="19" ht="54" customHeight="1">
      <x:c r="A19" s="6" t="str">
        <x:v>BOM-018</x:v>
      </x:c>
      <x:c r="B19" s="6" t="str">
        <x:v>-QS100</x:v>
      </x:c>
      <x:c r="C19" s="6" t="str">
        <x:v>Main door-coupled isolator</x:v>
      </x:c>
      <x:c r="D19" s="6" t="str"/>
      <x:c r="E19" s="6" t="str"/>
      <x:c r="F19" s="6" t="str">
        <x:v>1</x:v>
      </x:c>
      <x:c r="G19" s="6" t="str">
        <x:v>TBD</x:v>
      </x:c>
      <x:c r="H19" s="6" t="str">
        <x:v>Panel</x:v>
      </x:c>
      <x:c r="I19" s="6" t="str">
        <x:v>Supply, fault current and regulatory basis missing</x:v>
      </x:c>
      <x:c r="J19" s="6" t="str">
        <x:v>=FC01+CP01-QS100</x:v>
      </x:c>
    </x:row>
    <x:row r="20" ht="54" customHeight="1">
      <x:c r="A20" s="6" t="str">
        <x:v>BOM-019</x:v>
      </x:c>
      <x:c r="B20" s="6" t="str">
        <x:v>-QF100</x:v>
      </x:c>
      <x:c r="C20" s="6" t="str">
        <x:v>Main protective device</x:v>
      </x:c>
      <x:c r="D20" s="6" t="str"/>
      <x:c r="E20" s="6" t="str"/>
      <x:c r="F20" s="6" t="str">
        <x:v>1</x:v>
      </x:c>
      <x:c r="G20" s="6" t="str">
        <x:v>TBD</x:v>
      </x:c>
      <x:c r="H20" s="6" t="str">
        <x:v>Panel</x:v>
      </x:c>
      <x:c r="I20" s="6" t="str">
        <x:v>Fault level, load and selectivity study missing</x:v>
      </x:c>
      <x:c r="J20" s="6" t="str">
        <x:v>=FC01+CP01-QF100</x:v>
      </x:c>
    </x:row>
    <x:row r="21" ht="54" customHeight="1">
      <x:c r="A21" s="6" t="str">
        <x:v>BOM-020</x:v>
      </x:c>
      <x:c r="B21" s="6" t="str">
        <x:v>-PS100</x:v>
      </x:c>
      <x:c r="C21" s="6" t="str">
        <x:v>24 VDC 20 A power supply</x:v>
      </x:c>
      <x:c r="D21" s="6" t="str"/>
      <x:c r="E21" s="6" t="str"/>
      <x:c r="F21" s="6" t="str">
        <x:v>1</x:v>
      </x:c>
      <x:c r="G21" s="6" t="str">
        <x:v>Provisional</x:v>
      </x:c>
      <x:c r="H21" s="6" t="str">
        <x:v>Panel</x:v>
      </x:c>
      <x:c r="I21" s="6" t="str">
        <x:v>Demand estimate includes margin; inrush and derating open</x:v>
      </x:c>
      <x:c r="J21" s="6" t="str">
        <x:v>=FC01+CP01-PS100</x:v>
      </x:c>
    </x:row>
    <x:row r="22" ht="54" customHeight="1">
      <x:c r="A22" s="6" t="str">
        <x:v>BOM-021</x:v>
      </x:c>
      <x:c r="B22" s="6" t="str">
        <x:v>-QF110</x:v>
      </x:c>
      <x:c r="C22" s="6" t="str">
        <x:v>24 VDC electronic branch protection</x:v>
      </x:c>
      <x:c r="D22" s="6" t="str"/>
      <x:c r="E22" s="6" t="str"/>
      <x:c r="F22" s="6" t="str">
        <x:v>1</x:v>
      </x:c>
      <x:c r="G22" s="6" t="str">
        <x:v>TBD</x:v>
      </x:c>
      <x:c r="H22" s="6" t="str">
        <x:v>Panel</x:v>
      </x:c>
      <x:c r="I22" s="6" t="str">
        <x:v>Branch currents and discrimination require device data</x:v>
      </x:c>
      <x:c r="J22" s="6" t="str">
        <x:v>=FC01+CP01-QF110</x:v>
      </x:c>
    </x:row>
    <x:row r="23" ht="54" customHeight="1">
      <x:c r="A23" s="6" t="str">
        <x:v>BOM-022</x:v>
      </x:c>
      <x:c r="B23" s="6" t="str">
        <x:v>-K100</x:v>
      </x:c>
      <x:c r="C23" s="6" t="str">
        <x:v>Main control enable contactor / external safety interface with dry monitoring contact</x:v>
      </x:c>
      <x:c r="D23" s="6" t="str"/>
      <x:c r="E23" s="6" t="str"/>
      <x:c r="F23" s="6" t="str">
        <x:v>1</x:v>
      </x:c>
      <x:c r="G23" s="6" t="str">
        <x:v>TBD</x:v>
      </x:c>
      <x:c r="H23" s="6" t="str">
        <x:v>Panel</x:v>
      </x:c>
      <x:c r="I23" s="6" t="str">
        <x:v>Qualified safety design external</x:v>
      </x:c>
      <x:c r="J23" s="6" t="str">
        <x:v>=FC01+CP01-K100</x:v>
      </x:c>
    </x:row>
    <x:row r="24" ht="54" customHeight="1">
      <x:c r="A24" s="6" t="str">
        <x:v>BOM-023</x:v>
      </x:c>
      <x:c r="B24" s="6" t="str">
        <x:v>-K202..-K213</x:v>
      </x:c>
      <x:c r="C24" s="6" t="str">
        <x:v>Interposing relays with bases and status indication</x:v>
      </x:c>
      <x:c r="D24" s="6" t="str"/>
      <x:c r="E24" s="6" t="str"/>
      <x:c r="F24" s="6" t="str">
        <x:v>12</x:v>
      </x:c>
      <x:c r="G24" s="6" t="str">
        <x:v>TBD</x:v>
      </x:c>
      <x:c r="H24" s="6" t="str">
        <x:v>Panel</x:v>
      </x:c>
      <x:c r="I24" s="6" t="str">
        <x:v>Twelve active output relays; coil/contact/load ratings and approved supplier missing</x:v>
      </x:c>
      <x:c r="J24" s="6" t="str">
        <x:v>=FC01+CP01-K202..-K213</x:v>
      </x:c>
    </x:row>
    <x:row r="25" ht="54" customHeight="1">
      <x:c r="A25" s="6" t="str">
        <x:v>BOM-024</x:v>
      </x:c>
      <x:c r="B25" s="6" t="str">
        <x:v>-D202..-D213</x:v>
      </x:c>
      <x:c r="C25" s="6" t="str">
        <x:v>Coil suppression modules</x:v>
      </x:c>
      <x:c r="D25" s="6" t="str"/>
      <x:c r="E25" s="6" t="str"/>
      <x:c r="F25" s="6" t="str">
        <x:v>12</x:v>
      </x:c>
      <x:c r="G25" s="6" t="str">
        <x:v>TBD</x:v>
      </x:c>
      <x:c r="H25" s="6" t="str">
        <x:v>Panel</x:v>
      </x:c>
      <x:c r="I25" s="6" t="str">
        <x:v>One device per active relay; match relay coil technology</x:v>
      </x:c>
      <x:c r="J25" s="6" t="str">
        <x:v>=FC01+CP01-D202..-D213</x:v>
      </x:c>
    </x:row>
    <x:row r="26" ht="54" customHeight="1">
      <x:c r="A26" s="6" t="str">
        <x:v>BOM-025</x:v>
      </x:c>
      <x:c r="B26" s="6" t="str">
        <x:v>-X100..-X199</x:v>
      </x:c>
      <x:c r="C26" s="6" t="str">
        <x:v>DIN-rail terminal blocks, disconnect/test where required</x:v>
      </x:c>
      <x:c r="D26" s="6" t="str"/>
      <x:c r="E26" s="6" t="str"/>
      <x:c r="F26" s="6" t="str">
        <x:v>160</x:v>
      </x:c>
      <x:c r="G26" s="6" t="str">
        <x:v>Provisional quantity</x:v>
      </x:c>
      <x:c r="H26" s="6" t="str">
        <x:v>Panel</x:v>
      </x:c>
      <x:c r="I26" s="6" t="str">
        <x:v>Final QET continuity and terminal-family selection open</x:v>
      </x:c>
      <x:c r="J26" s="6" t="str">
        <x:v>=FC01+CP01-X100..-X199</x:v>
      </x:c>
    </x:row>
    <x:row r="27" ht="54" customHeight="1">
      <x:c r="A27" s="6" t="str">
        <x:v>BOM-026</x:v>
      </x:c>
      <x:c r="B27" s="6" t="str">
        <x:v>-PE100</x:v>
      </x:c>
      <x:c r="C27" s="6" t="str">
        <x:v>Copper protective-earth bar and bonding hardware</x:v>
      </x:c>
      <x:c r="D27" s="6" t="str"/>
      <x:c r="E27" s="6" t="str"/>
      <x:c r="F27" s="6" t="str">
        <x:v>1</x:v>
      </x:c>
      <x:c r="G27" s="6" t="str">
        <x:v>TBD</x:v>
      </x:c>
      <x:c r="H27" s="6" t="str">
        <x:v>Panel</x:v>
      </x:c>
      <x:c r="I27" s="6" t="str">
        <x:v>PE sizing requires supply/earthing inputs</x:v>
      </x:c>
      <x:c r="J27" s="6" t="str">
        <x:v>=FC01+CP01-PE100</x:v>
      </x:c>
    </x:row>
    <x:row r="28" ht="54" customHeight="1">
      <x:c r="A28" s="6" t="str">
        <x:v>BOM-027</x:v>
      </x:c>
      <x:c r="B28" s="6" t="str">
        <x:v>-SC100</x:v>
      </x:c>
      <x:c r="C28" s="6" t="str">
        <x:v>Shield-clamp rail and spring clamps</x:v>
      </x:c>
      <x:c r="D28" s="6" t="str"/>
      <x:c r="E28" s="6" t="str"/>
      <x:c r="F28" s="6" t="str">
        <x:v>12</x:v>
      </x:c>
      <x:c r="G28" s="6" t="str">
        <x:v>Provisional quantity</x:v>
      </x:c>
      <x:c r="H28" s="6" t="str">
        <x:v>Panel</x:v>
      </x:c>
      <x:c r="I28" s="6" t="str">
        <x:v>Cable OD and final shield count open</x:v>
      </x:c>
      <x:c r="J28" s="6" t="str">
        <x:v>=FC01+CP01-SC100</x:v>
      </x:c>
    </x:row>
    <x:row r="29" ht="54" customHeight="1">
      <x:c r="A29" s="6" t="str">
        <x:v>BOM-028</x:v>
      </x:c>
      <x:c r="B29" s="6" t="str">
        <x:v>-ENC100</x:v>
      </x:c>
      <x:c r="C29" s="6" t="str">
        <x:v>IP-rated enclosure with mounting plate</x:v>
      </x:c>
      <x:c r="D29" s="6" t="str"/>
      <x:c r="E29" s="6" t="str"/>
      <x:c r="F29" s="6" t="str">
        <x:v>1</x:v>
      </x:c>
      <x:c r="G29" s="6" t="str">
        <x:v>TBD</x:v>
      </x:c>
      <x:c r="H29" s="6" t="str">
        <x:v>Panel</x:v>
      </x:c>
      <x:c r="I29" s="6" t="str">
        <x:v>Environment, IP rating and thermal calculation open</x:v>
      </x:c>
      <x:c r="J29" s="6" t="str">
        <x:v>=FC01+CP01-ENC100</x:v>
      </x:c>
    </x:row>
    <x:row r="30" ht="54" customHeight="1">
      <x:c r="A30" s="6" t="str">
        <x:v>BOM-029</x:v>
      </x:c>
      <x:c r="B30" s="6" t="str">
        <x:v>-WD100</x:v>
      </x:c>
      <x:c r="C30" s="6" t="str">
        <x:v>Slotted wiring duct set</x:v>
      </x:c>
      <x:c r="D30" s="6" t="str"/>
      <x:c r="E30" s="6" t="str"/>
      <x:c r="F30" s="6" t="str">
        <x:v>1</x:v>
      </x:c>
      <x:c r="G30" s="6" t="str">
        <x:v>TBD</x:v>
      </x:c>
      <x:c r="H30" s="6" t="str">
        <x:v>Panel</x:v>
      </x:c>
      <x:c r="I30" s="6" t="str">
        <x:v>Duct fill pending final conductors</x:v>
      </x:c>
      <x:c r="J30" s="6" t="str">
        <x:v>=FC01+CP01-WD100</x:v>
      </x:c>
    </x:row>
    <x:row r="31" ht="54" customHeight="1">
      <x:c r="A31" s="6" t="str">
        <x:v>BOM-030</x:v>
      </x:c>
      <x:c r="B31" s="6" t="str">
        <x:v>-DR100</x:v>
      </x:c>
      <x:c r="C31" s="6" t="str">
        <x:v>35 mm DIN rail set</x:v>
      </x:c>
      <x:c r="D31" s="6" t="str"/>
      <x:c r="E31" s="6" t="str"/>
      <x:c r="F31" s="6" t="str">
        <x:v>1</x:v>
      </x:c>
      <x:c r="G31" s="6" t="str">
        <x:v>TBD</x:v>
      </x:c>
      <x:c r="H31" s="6" t="str">
        <x:v>Panel</x:v>
      </x:c>
      <x:c r="I31" s="6" t="str">
        <x:v>Final layout open</x:v>
      </x:c>
      <x:c r="J31" s="6" t="str">
        <x:v>=FC01+CP01-DR100</x:v>
      </x:c>
    </x:row>
    <x:row r="32" ht="54" customHeight="1">
      <x:c r="A32" s="6" t="str">
        <x:v>BOM-031</x:v>
      </x:c>
      <x:c r="B32" s="6" t="str">
        <x:v>-GL100</x:v>
      </x:c>
      <x:c r="C32" s="6" t="str">
        <x:v>Cable glands and EMC glands</x:v>
      </x:c>
      <x:c r="D32" s="6" t="str"/>
      <x:c r="E32" s="6" t="str"/>
      <x:c r="F32" s="6" t="str">
        <x:v>1</x:v>
      </x:c>
      <x:c r="G32" s="6" t="str">
        <x:v>TBD</x:v>
      </x:c>
      <x:c r="H32" s="6" t="str">
        <x:v>Installation</x:v>
      </x:c>
      <x:c r="I32" s="6" t="str">
        <x:v>Cable OD and IP rating open</x:v>
      </x:c>
      <x:c r="J32" s="6" t="str">
        <x:v>=FC01+FLD-GL100</x:v>
      </x:c>
    </x:row>
    <x:row r="33" ht="54" customHeight="1">
      <x:c r="A33" s="6" t="str">
        <x:v>BOM-032</x:v>
      </x:c>
      <x:c r="B33" s="6" t="str">
        <x:v>-FAN100</x:v>
      </x:c>
      <x:c r="C33" s="6" t="str">
        <x:v>Filter fan / cooling solution</x:v>
      </x:c>
      <x:c r="D33" s="6" t="str"/>
      <x:c r="E33" s="6" t="str"/>
      <x:c r="F33" s="6" t="str">
        <x:v>1</x:v>
      </x:c>
      <x:c r="G33" s="6" t="str">
        <x:v>TBD</x:v>
      </x:c>
      <x:c r="H33" s="6" t="str">
        <x:v>Panel</x:v>
      </x:c>
      <x:c r="I33" s="6" t="str">
        <x:v>Thermal model and ambient inputs open</x:v>
      </x:c>
      <x:c r="J33" s="6" t="str">
        <x:v>=FC01+CP01-FAN100</x:v>
      </x:c>
    </x:row>
    <x:row r="34" ht="54" customHeight="1">
      <x:c r="A34" s="6" t="str">
        <x:v>BOM-033</x:v>
      </x:c>
      <x:c r="B34" s="6" t="str">
        <x:v>-M100</x:v>
      </x:c>
      <x:c r="C34" s="6" t="str">
        <x:v>Conveyor motor</x:v>
      </x:c>
      <x:c r="D34" s="6" t="str"/>
      <x:c r="E34" s="6" t="str"/>
      <x:c r="F34" s="6" t="str">
        <x:v>1</x:v>
      </x:c>
      <x:c r="G34" s="6" t="str">
        <x:v>TBD</x:v>
      </x:c>
      <x:c r="H34" s="6" t="str">
        <x:v>Field</x:v>
      </x:c>
      <x:c r="I34" s="6" t="str">
        <x:v>Nameplate, duty, cable and mechanical data required</x:v>
      </x:c>
      <x:c r="J34" s="6" t="str">
        <x:v>=FC01+FLD-M100</x:v>
      </x:c>
    </x:row>
    <x:row r="35" ht="54" customHeight="1">
      <x:c r="A35" s="6" t="str">
        <x:v>BOM-034</x:v>
      </x:c>
      <x:c r="B35" s="6" t="str">
        <x:v>-M101</x:v>
      </x:c>
      <x:c r="C35" s="6" t="str">
        <x:v>Pump motor</x:v>
      </x:c>
      <x:c r="D35" s="6" t="str"/>
      <x:c r="E35" s="6" t="str"/>
      <x:c r="F35" s="6" t="str">
        <x:v>1</x:v>
      </x:c>
      <x:c r="G35" s="6" t="str">
        <x:v>TBD</x:v>
      </x:c>
      <x:c r="H35" s="6" t="str">
        <x:v>Field</x:v>
      </x:c>
      <x:c r="I35" s="6" t="str">
        <x:v>Pump curve, nameplate, dead-head and cable data required</x:v>
      </x:c>
      <x:c r="J35" s="6" t="str">
        <x:v>=FC01+FLD-M101</x:v>
      </x:c>
    </x:row>
    <x:row r="36" ht="54" customHeight="1">
      <x:c r="A36" s="6" t="str">
        <x:v>BOM-035</x:v>
      </x:c>
      <x:c r="B36" s="6" t="str">
        <x:v>-YV100</x:v>
      </x:c>
      <x:c r="C36" s="6" t="str">
        <x:v>Gate valve/cylinder solenoid</x:v>
      </x:c>
      <x:c r="D36" s="6" t="str"/>
      <x:c r="E36" s="6" t="str"/>
      <x:c r="F36" s="6" t="str">
        <x:v>1</x:v>
      </x:c>
      <x:c r="G36" s="6" t="str">
        <x:v>TBD</x:v>
      </x:c>
      <x:c r="H36" s="6" t="str">
        <x:v>Field</x:v>
      </x:c>
      <x:c r="I36" s="6" t="str">
        <x:v>Coil current, response and fail state required</x:v>
      </x:c>
      <x:c r="J36" s="6" t="str">
        <x:v>=FC01+FLD-YV100</x:v>
      </x:c>
    </x:row>
    <x:row r="37" ht="54" customHeight="1">
      <x:c r="A37" s="6" t="str">
        <x:v>BOM-036</x:v>
      </x:c>
      <x:c r="B37" s="6" t="str">
        <x:v>-YV101</x:v>
      </x:c>
      <x:c r="C37" s="6" t="str">
        <x:v>Clamp valve/cylinder solenoid</x:v>
      </x:c>
      <x:c r="D37" s="6" t="str"/>
      <x:c r="E37" s="6" t="str"/>
      <x:c r="F37" s="6" t="str">
        <x:v>1</x:v>
      </x:c>
      <x:c r="G37" s="6" t="str">
        <x:v>TBD</x:v>
      </x:c>
      <x:c r="H37" s="6" t="str">
        <x:v>Field</x:v>
      </x:c>
      <x:c r="I37" s="6" t="str">
        <x:v>Coil current, response and fail state required</x:v>
      </x:c>
      <x:c r="J37" s="6" t="str">
        <x:v>=FC01+FLD-YV101</x:v>
      </x:c>
    </x:row>
    <x:row r="38" ht="54" customHeight="1">
      <x:c r="A38" s="6" t="str">
        <x:v>BOM-037</x:v>
      </x:c>
      <x:c r="B38" s="6" t="str">
        <x:v>-YV102</x:v>
      </x:c>
      <x:c r="C38" s="6" t="str">
        <x:v>Fill valve channel 1, fail closed</x:v>
      </x:c>
      <x:c r="D38" s="6" t="str"/>
      <x:c r="E38" s="6" t="str"/>
      <x:c r="F38" s="6" t="str">
        <x:v>1</x:v>
      </x:c>
      <x:c r="G38" s="6" t="str">
        <x:v>TBD</x:v>
      </x:c>
      <x:c r="H38" s="6" t="str">
        <x:v>Field</x:v>
      </x:c>
      <x:c r="I38" s="6" t="str">
        <x:v>Wetted materials, Kv, coil and closing time required</x:v>
      </x:c>
      <x:c r="J38" s="6" t="str">
        <x:v>=FC01+FLD-YV102</x:v>
      </x:c>
    </x:row>
    <x:row r="39" ht="54" customHeight="1">
      <x:c r="A39" s="6" t="str">
        <x:v>BOM-038</x:v>
      </x:c>
      <x:c r="B39" s="6" t="str">
        <x:v>-YV103</x:v>
      </x:c>
      <x:c r="C39" s="6" t="str">
        <x:v>Fill valve channel 2, fail closed</x:v>
      </x:c>
      <x:c r="D39" s="6" t="str"/>
      <x:c r="E39" s="6" t="str"/>
      <x:c r="F39" s="6" t="str">
        <x:v>1</x:v>
      </x:c>
      <x:c r="G39" s="6" t="str">
        <x:v>TBD</x:v>
      </x:c>
      <x:c r="H39" s="6" t="str">
        <x:v>Field</x:v>
      </x:c>
      <x:c r="I39" s="6" t="str">
        <x:v>Wetted materials, Kv, coil and closing time required</x:v>
      </x:c>
      <x:c r="J39" s="6" t="str">
        <x:v>=FC01+FLD-YV103</x:v>
      </x:c>
    </x:row>
    <x:row r="40" ht="54" customHeight="1">
      <x:c r="A40" s="6" t="str">
        <x:v>BOM-039</x:v>
      </x:c>
      <x:c r="B40" s="6" t="str">
        <x:v>-FT100</x:v>
      </x:c>
      <x:c r="C40" s="6" t="str">
        <x:v>Pulse plus 4-20 mA flowmeter channel 1</x:v>
      </x:c>
      <x:c r="D40" s="6" t="str"/>
      <x:c r="E40" s="6" t="str"/>
      <x:c r="F40" s="6" t="str">
        <x:v>1</x:v>
      </x:c>
      <x:c r="G40" s="6" t="str">
        <x:v>TBD</x:v>
      </x:c>
      <x:c r="H40" s="6" t="str">
        <x:v>Field</x:v>
      </x:c>
      <x:c r="I40" s="6" t="str">
        <x:v>K-factor, max pulse rate and analog diagnostics required</x:v>
      </x:c>
      <x:c r="J40" s="6" t="str">
        <x:v>=FC01+FLD-FT100</x:v>
      </x:c>
    </x:row>
    <x:row r="41" ht="54" customHeight="1">
      <x:c r="A41" s="6" t="str">
        <x:v>BOM-040</x:v>
      </x:c>
      <x:c r="B41" s="6" t="str">
        <x:v>-FT101</x:v>
      </x:c>
      <x:c r="C41" s="6" t="str">
        <x:v>Pulse plus 4-20 mA flowmeter channel 2</x:v>
      </x:c>
      <x:c r="D41" s="6" t="str"/>
      <x:c r="E41" s="6" t="str"/>
      <x:c r="F41" s="6" t="str">
        <x:v>1</x:v>
      </x:c>
      <x:c r="G41" s="6" t="str">
        <x:v>TBD</x:v>
      </x:c>
      <x:c r="H41" s="6" t="str">
        <x:v>Field</x:v>
      </x:c>
      <x:c r="I41" s="6" t="str">
        <x:v>K-factor, max pulse rate and analog diagnostics required</x:v>
      </x:c>
      <x:c r="J41" s="6" t="str">
        <x:v>=FC01+FLD-FT101</x:v>
      </x:c>
    </x:row>
    <x:row r="42" ht="54" customHeight="1">
      <x:c r="A42" s="6" t="str">
        <x:v>BOM-041</x:v>
      </x:c>
      <x:c r="B42" s="6" t="str">
        <x:v>-S100</x:v>
      </x:c>
      <x:c r="C42" s="6" t="str">
        <x:v>Local reset pushbutton</x:v>
      </x:c>
      <x:c r="D42" s="6" t="str"/>
      <x:c r="E42" s="6" t="str"/>
      <x:c r="F42" s="6" t="str">
        <x:v>1</x:v>
      </x:c>
      <x:c r="G42" s="6" t="str">
        <x:v>TBD</x:v>
      </x:c>
      <x:c r="H42" s="6" t="str">
        <x:v>Field</x:v>
      </x:c>
      <x:c r="I42" s="6" t="str">
        <x:v>Operator-station family and IP rating open</x:v>
      </x:c>
      <x:c r="J42" s="6" t="str">
        <x:v>=FC01+FLD-S100</x:v>
      </x:c>
    </x:row>
    <x:row r="43" ht="54" customHeight="1">
      <x:c r="A43" s="6" t="str">
        <x:v>BOM-042</x:v>
      </x:c>
      <x:c r="B43" s="6" t="str">
        <x:v>-S101</x:v>
      </x:c>
      <x:c r="C43" s="6" t="str">
        <x:v>Local controlled-stop pushbutton</x:v>
      </x:c>
      <x:c r="D43" s="6" t="str"/>
      <x:c r="E43" s="6" t="str"/>
      <x:c r="F43" s="6" t="str">
        <x:v>1</x:v>
      </x:c>
      <x:c r="G43" s="6" t="str">
        <x:v>TBD</x:v>
      </x:c>
      <x:c r="H43" s="6" t="str">
        <x:v>Field</x:v>
      </x:c>
      <x:c r="I43" s="6" t="str">
        <x:v>Not a safety stop; operator-station family open</x:v>
      </x:c>
      <x:c r="J43" s="6" t="str">
        <x:v>=FC01+FLD-S101</x:v>
      </x:c>
    </x:row>
    <x:row r="44" ht="54" customHeight="1">
      <x:c r="A44" s="6" t="str">
        <x:v>BOM-043</x:v>
      </x:c>
      <x:c r="B44" s="6" t="str">
        <x:v>-S102</x:v>
      </x:c>
      <x:c r="C44" s="6" t="str">
        <x:v>Guard-status dry-contact monitoring interface</x:v>
      </x:c>
      <x:c r="D44" s="6" t="str"/>
      <x:c r="E44" s="6" t="str"/>
      <x:c r="F44" s="6" t="str">
        <x:v>1</x:v>
      </x:c>
      <x:c r="G44" s="6" t="str">
        <x:v>TBD</x:v>
      </x:c>
      <x:c r="H44" s="6" t="str">
        <x:v>Field</x:v>
      </x:c>
      <x:c r="I44" s="6" t="str">
        <x:v>Monitoring only; qualified guard-interlocking design remains external</x:v>
      </x:c>
      <x:c r="J44" s="6" t="str">
        <x:v>=FC01+FLD-S102</x:v>
      </x:c>
    </x:row>
    <x:row r="45" ht="54" customHeight="1">
      <x:c r="A45" s="6" t="str">
        <x:v>BOM-044</x:v>
      </x:c>
      <x:c r="B45" s="6" t="str">
        <x:v>-H101</x:v>
      </x:c>
      <x:c r="C45" s="6" t="str">
        <x:v>Three-color stack light with sounder</x:v>
      </x:c>
      <x:c r="D45" s="6" t="str"/>
      <x:c r="E45" s="6" t="str"/>
      <x:c r="F45" s="6" t="str">
        <x:v>1</x:v>
      </x:c>
      <x:c r="G45" s="6" t="str">
        <x:v>TBD</x:v>
      </x:c>
      <x:c r="H45" s="6" t="str">
        <x:v>Field</x:v>
      </x:c>
      <x:c r="I45" s="6" t="str">
        <x:v>Lens, sound level and mounting open</x:v>
      </x:c>
      <x:c r="J45" s="6" t="str">
        <x:v>=FC01+FLD-H101</x:v>
      </x:c>
    </x:row>
    <x:row r="46" ht="54" customHeight="1">
      <x:c r="A46" s="6" t="str">
        <x:v>BOM-045</x:v>
      </x:c>
      <x:c r="B46" s="6" t="str">
        <x:v>-IF140</x:v>
      </x:c>
      <x:c r="C46" s="6" t="str">
        <x:v>Capper interface terminals/relays</x:v>
      </x:c>
      <x:c r="D46" s="6" t="str"/>
      <x:c r="E46" s="6" t="str"/>
      <x:c r="F46" s="6" t="str">
        <x:v>1</x:v>
      </x:c>
      <x:c r="G46" s="6" t="str">
        <x:v>TBD</x:v>
      </x:c>
      <x:c r="H46" s="6" t="str">
        <x:v>Field</x:v>
      </x:c>
      <x:c r="I46" s="6" t="str">
        <x:v>Interface specification missing</x:v>
      </x:c>
      <x:c r="J46" s="6" t="str">
        <x:v>=FC01+FLD-IF140</x:v>
      </x:c>
    </x:row>
    <x:row r="47" ht="54" customHeight="1">
      <x:c r="A47" s="6" t="str">
        <x:v>BOM-046</x:v>
      </x:c>
      <x:c r="B47" s="6" t="str">
        <x:v>-CAM200</x:v>
      </x:c>
      <x:c r="C47" s="6" t="str">
        <x:v>Industrial camera</x:v>
      </x:c>
      <x:c r="D47" s="6" t="str"/>
      <x:c r="E47" s="6" t="str"/>
      <x:c r="F47" s="6" t="str">
        <x:v>1</x:v>
      </x:c>
      <x:c r="G47" s="6" t="str">
        <x:v>TBD</x:v>
      </x:c>
      <x:c r="H47" s="6" t="str">
        <x:v>Vision</x:v>
      </x:c>
      <x:c r="I47" s="6" t="str">
        <x:v>Vision physical basis and target interface open</x:v>
      </x:c>
      <x:c r="J47" s="6" t="str">
        <x:v>=FC01+FLD-CAM200</x:v>
      </x:c>
    </x:row>
    <x:row r="48" ht="54" customHeight="1">
      <x:c r="A48" s="6" t="str">
        <x:v>BOM-047</x:v>
      </x:c>
      <x:c r="B48" s="6" t="str">
        <x:v>-LENS200</x:v>
      </x:c>
      <x:c r="C48" s="6" t="str">
        <x:v>C-mount lens</x:v>
      </x:c>
      <x:c r="D48" s="6" t="str"/>
      <x:c r="E48" s="6" t="str"/>
      <x:c r="F48" s="6" t="str">
        <x:v>1</x:v>
      </x:c>
      <x:c r="G48" s="6" t="str">
        <x:v>TBD</x:v>
      </x:c>
      <x:c r="H48" s="6" t="str">
        <x:v>Vision</x:v>
      </x:c>
      <x:c r="I48" s="6" t="str">
        <x:v>Sensor, FOV, working distance and DoF open</x:v>
      </x:c>
      <x:c r="J48" s="6" t="str">
        <x:v>=FC01+FLD-LENS200</x:v>
      </x:c>
    </x:row>
    <x:row r="49" ht="54" customHeight="1">
      <x:c r="A49" s="6" t="str">
        <x:v>BOM-048</x:v>
      </x:c>
      <x:c r="B49" s="6" t="str">
        <x:v>-LT200</x:v>
      </x:c>
      <x:c r="C49" s="6" t="str">
        <x:v>Machine-vision backlight/front-light assembly</x:v>
      </x:c>
      <x:c r="D49" s="6" t="str"/>
      <x:c r="E49" s="6" t="str"/>
      <x:c r="F49" s="6" t="str">
        <x:v>1</x:v>
      </x:c>
      <x:c r="G49" s="6" t="str">
        <x:v>TBD</x:v>
      </x:c>
      <x:c r="H49" s="6" t="str">
        <x:v>Vision</x:v>
      </x:c>
      <x:c r="I49" s="6" t="str">
        <x:v>Optical trials and exposure limits open</x:v>
      </x:c>
      <x:c r="J49" s="6" t="str">
        <x:v>=FC01+FLD-LT200</x:v>
      </x:c>
    </x:row>
    <x:row r="50" ht="54" customHeight="1">
      <x:c r="A50" s="6" t="str">
        <x:v>BOM-049</x:v>
      </x:c>
      <x:c r="B50" s="6" t="str">
        <x:v>-CB200</x:v>
      </x:c>
      <x:c r="C50" s="6" t="str">
        <x:v>Industrial Jetson carrier</x:v>
      </x:c>
      <x:c r="D50" s="6" t="str"/>
      <x:c r="E50" s="6" t="str"/>
      <x:c r="F50" s="6" t="str">
        <x:v>1</x:v>
      </x:c>
      <x:c r="G50" s="6" t="str">
        <x:v>TBD</x:v>
      </x:c>
      <x:c r="H50" s="6" t="str">
        <x:v>Vision</x:v>
      </x:c>
      <x:c r="I50" s="6" t="str">
        <x:v>Power, lifecycle, thermal and EMC selection open</x:v>
      </x:c>
      <x:c r="J50" s="6" t="str">
        <x:v>=FC01+FLD-CB200</x:v>
      </x:c>
    </x:row>
    <x:row r="51" ht="54" customHeight="1">
      <x:c r="A51" s="6" t="str">
        <x:v>BOM-050</x:v>
      </x:c>
      <x:c r="B51" s="6" t="str">
        <x:v>-W900</x:v>
      </x:c>
      <x:c r="C51" s="6" t="str">
        <x:v>Industrial Ethernet patch cables/connectors</x:v>
      </x:c>
      <x:c r="D51" s="6" t="str"/>
      <x:c r="E51" s="6" t="str"/>
      <x:c r="F51" s="6" t="str">
        <x:v>7</x:v>
      </x:c>
      <x:c r="G51" s="6" t="str">
        <x:v>Provisional quantity</x:v>
      </x:c>
      <x:c r="H51" s="6" t="str">
        <x:v>Installation</x:v>
      </x:c>
      <x:c r="I51" s="6" t="str">
        <x:v>Lengths and routing open</x:v>
      </x:c>
      <x:c r="J51" s="6" t="str">
        <x:v>=FC01+FLD-W900</x:v>
      </x:c>
    </x:row>
    <x:row r="52" ht="54" customHeight="1">
      <x:c r="A52" s="6" t="str">
        <x:v>BOM-051</x:v>
      </x:c>
      <x:c r="B52" s="6" t="str">
        <x:v>-W901</x:v>
      </x:c>
      <x:c r="C52" s="6" t="str">
        <x:v>Shielded VFD motor cables and EMC termination kits</x:v>
      </x:c>
      <x:c r="D52" s="6" t="str"/>
      <x:c r="E52" s="6" t="str"/>
      <x:c r="F52" s="6" t="str">
        <x:v>2</x:v>
      </x:c>
      <x:c r="G52" s="6" t="str">
        <x:v>TBD</x:v>
      </x:c>
      <x:c r="H52" s="6" t="str">
        <x:v>Installation</x:v>
      </x:c>
      <x:c r="I52" s="6" t="str">
        <x:v>Motor cable lengths and drive EMC design open</x:v>
      </x:c>
      <x:c r="J52" s="6" t="str">
        <x:v>=FC01+FLD-W901</x:v>
      </x:c>
    </x:row>
    <x:row r="53" ht="54" customHeight="1">
      <x:c r="A53" s="6" t="str">
        <x:v>BOM-052</x:v>
      </x:c>
      <x:c r="B53" s="6" t="str">
        <x:v>-CONS100</x:v>
      </x:c>
      <x:c r="C53" s="6" t="str">
        <x:v>Markers, ferrules, lugs, ties and installation consumables</x:v>
      </x:c>
      <x:c r="D53" s="6" t="str"/>
      <x:c r="E53" s="6" t="str"/>
      <x:c r="F53" s="6" t="str">
        <x:v>1</x:v>
      </x:c>
      <x:c r="G53" s="6" t="str">
        <x:v>TBD</x:v>
      </x:c>
      <x:c r="H53" s="6" t="str">
        <x:v>Installation</x:v>
      </x:c>
      <x:c r="I53" s="6" t="str">
        <x:v>Quantity after detailed design</x:v>
      </x:c>
      <x:c r="J53" s="6" t="str">
        <x:v>=FC01+FLD-CONS100</x:v>
      </x:c>
    </x:row>
    <x:row r="54" ht="54" customHeight="1">
      <x:c r="A54" s="6" t="str">
        <x:v>BOM-053</x:v>
      </x:c>
      <x:c r="B54" s="6" t="str">
        <x:v>-B100</x:v>
      </x:c>
      <x:c r="C54" s="6" t="str">
        <x:v>Pneumatic pressure switch</x:v>
      </x:c>
      <x:c r="D54" s="6" t="str"/>
      <x:c r="E54" s="6" t="str"/>
      <x:c r="F54" s="6" t="str">
        <x:v>1</x:v>
      </x:c>
      <x:c r="G54" s="6" t="str">
        <x:v>TBD</x:v>
      </x:c>
      <x:c r="H54" s="6" t="str">
        <x:v>Field</x:v>
      </x:c>
      <x:c r="I54" s="6" t="str">
        <x:v>Automatically added from canonical I/O; exact device selection open</x:v>
      </x:c>
      <x:c r="J54" s="6" t="str">
        <x:v>=FC01+FLD-B100</x:v>
      </x:c>
    </x:row>
    <x:row r="55" ht="54" customHeight="1">
      <x:c r="A55" s="6" t="str">
        <x:v>BOM-054</x:v>
      </x:c>
      <x:c r="B55" s="6" t="str">
        <x:v>-B101</x:v>
      </x:c>
      <x:c r="C55" s="6" t="str">
        <x:v>Product supply permissive</x:v>
      </x:c>
      <x:c r="D55" s="6" t="str"/>
      <x:c r="E55" s="6" t="str"/>
      <x:c r="F55" s="6" t="str">
        <x:v>1</x:v>
      </x:c>
      <x:c r="G55" s="6" t="str">
        <x:v>TBD</x:v>
      </x:c>
      <x:c r="H55" s="6" t="str">
        <x:v>Field</x:v>
      </x:c>
      <x:c r="I55" s="6" t="str">
        <x:v>Automatically added from canonical I/O; exact device selection open</x:v>
      </x:c>
      <x:c r="J55" s="6" t="str">
        <x:v>=FC01+FLD-B101</x:v>
      </x:c>
    </x:row>
    <x:row r="56" ht="54" customHeight="1">
      <x:c r="A56" s="6" t="str">
        <x:v>BOM-055</x:v>
      </x:c>
      <x:c r="B56" s="6" t="str">
        <x:v>-B110</x:v>
      </x:c>
      <x:c r="C56" s="6" t="str">
        <x:v>Bottle 1 position sensor</x:v>
      </x:c>
      <x:c r="D56" s="6" t="str"/>
      <x:c r="E56" s="6" t="str"/>
      <x:c r="F56" s="6" t="str">
        <x:v>1</x:v>
      </x:c>
      <x:c r="G56" s="6" t="str">
        <x:v>TBD</x:v>
      </x:c>
      <x:c r="H56" s="6" t="str">
        <x:v>Field</x:v>
      </x:c>
      <x:c r="I56" s="6" t="str">
        <x:v>Automatically added from canonical I/O; exact device selection open</x:v>
      </x:c>
      <x:c r="J56" s="6" t="str">
        <x:v>=FC01+FLD-B110</x:v>
      </x:c>
    </x:row>
    <x:row r="57" ht="54" customHeight="1">
      <x:c r="A57" s="6" t="str">
        <x:v>BOM-056</x:v>
      </x:c>
      <x:c r="B57" s="6" t="str">
        <x:v>-B111</x:v>
      </x:c>
      <x:c r="C57" s="6" t="str">
        <x:v>Bottle 2 position sensor</x:v>
      </x:c>
      <x:c r="D57" s="6" t="str"/>
      <x:c r="E57" s="6" t="str"/>
      <x:c r="F57" s="6" t="str">
        <x:v>1</x:v>
      </x:c>
      <x:c r="G57" s="6" t="str">
        <x:v>TBD</x:v>
      </x:c>
      <x:c r="H57" s="6" t="str">
        <x:v>Field</x:v>
      </x:c>
      <x:c r="I57" s="6" t="str">
        <x:v>Automatically added from canonical I/O; exact device selection open</x:v>
      </x:c>
      <x:c r="J57" s="6" t="str">
        <x:v>=FC01+FLD-B111</x:v>
      </x:c>
    </x:row>
    <x:row r="58" ht="54" customHeight="1">
      <x:c r="A58" s="6" t="str">
        <x:v>BOM-057</x:v>
      </x:c>
      <x:c r="B58" s="6" t="str">
        <x:v>-B120</x:v>
      </x:c>
      <x:c r="C58" s="6" t="str">
        <x:v>Gate open feedback</x:v>
      </x:c>
      <x:c r="D58" s="6" t="str"/>
      <x:c r="E58" s="6" t="str"/>
      <x:c r="F58" s="6" t="str">
        <x:v>1</x:v>
      </x:c>
      <x:c r="G58" s="6" t="str">
        <x:v>TBD</x:v>
      </x:c>
      <x:c r="H58" s="6" t="str">
        <x:v>Field</x:v>
      </x:c>
      <x:c r="I58" s="6" t="str">
        <x:v>Automatically added from canonical I/O; exact device selection open</x:v>
      </x:c>
      <x:c r="J58" s="6" t="str">
        <x:v>=FC01+FLD-B120</x:v>
      </x:c>
    </x:row>
    <x:row r="59" ht="54" customHeight="1">
      <x:c r="A59" s="6" t="str">
        <x:v>BOM-058</x:v>
      </x:c>
      <x:c r="B59" s="6" t="str">
        <x:v>-B121</x:v>
      </x:c>
      <x:c r="C59" s="6" t="str">
        <x:v>Gate closed feedback</x:v>
      </x:c>
      <x:c r="D59" s="6" t="str"/>
      <x:c r="E59" s="6" t="str"/>
      <x:c r="F59" s="6" t="str">
        <x:v>1</x:v>
      </x:c>
      <x:c r="G59" s="6" t="str">
        <x:v>TBD</x:v>
      </x:c>
      <x:c r="H59" s="6" t="str">
        <x:v>Field</x:v>
      </x:c>
      <x:c r="I59" s="6" t="str">
        <x:v>Automatically added from canonical I/O; exact device selection open</x:v>
      </x:c>
      <x:c r="J59" s="6" t="str">
        <x:v>=FC01+FLD-B121</x:v>
      </x:c>
    </x:row>
    <x:row r="60" ht="54" customHeight="1">
      <x:c r="A60" s="6" t="str">
        <x:v>BOM-059</x:v>
      </x:c>
      <x:c r="B60" s="6" t="str">
        <x:v>-B122</x:v>
      </x:c>
      <x:c r="C60" s="6" t="str">
        <x:v>Clamp released feedback</x:v>
      </x:c>
      <x:c r="D60" s="6" t="str"/>
      <x:c r="E60" s="6" t="str"/>
      <x:c r="F60" s="6" t="str">
        <x:v>1</x:v>
      </x:c>
      <x:c r="G60" s="6" t="str">
        <x:v>TBD</x:v>
      </x:c>
      <x:c r="H60" s="6" t="str">
        <x:v>Field</x:v>
      </x:c>
      <x:c r="I60" s="6" t="str">
        <x:v>Automatically added from canonical I/O; exact device selection open</x:v>
      </x:c>
      <x:c r="J60" s="6" t="str">
        <x:v>=FC01+FLD-B122</x:v>
      </x:c>
    </x:row>
    <x:row r="61" ht="54" customHeight="1">
      <x:c r="A61" s="6" t="str">
        <x:v>BOM-060</x:v>
      </x:c>
      <x:c r="B61" s="6" t="str">
        <x:v>-B123</x:v>
      </x:c>
      <x:c r="C61" s="6" t="str">
        <x:v>Clamp engaged feedback</x:v>
      </x:c>
      <x:c r="D61" s="6" t="str"/>
      <x:c r="E61" s="6" t="str"/>
      <x:c r="F61" s="6" t="str">
        <x:v>1</x:v>
      </x:c>
      <x:c r="G61" s="6" t="str">
        <x:v>TBD</x:v>
      </x:c>
      <x:c r="H61" s="6" t="str">
        <x:v>Field</x:v>
      </x:c>
      <x:c r="I61" s="6" t="str">
        <x:v>Automatically added from canonical I/O; exact device selection open</x:v>
      </x:c>
      <x:c r="J61" s="6" t="str">
        <x:v>=FC01+FLD-B123</x:v>
      </x:c>
    </x:row>
    <x:row r="62" ht="54" customHeight="1">
      <x:c r="A62" s="6" t="str">
        <x:v>BOM-061</x:v>
      </x:c>
      <x:c r="B62" s="6" t="str">
        <x:v>-B130</x:v>
      </x:c>
      <x:c r="C62" s="6" t="str">
        <x:v>Valve 1 closed proof</x:v>
      </x:c>
      <x:c r="D62" s="6" t="str"/>
      <x:c r="E62" s="6" t="str"/>
      <x:c r="F62" s="6" t="str">
        <x:v>1</x:v>
      </x:c>
      <x:c r="G62" s="6" t="str">
        <x:v>TBD</x:v>
      </x:c>
      <x:c r="H62" s="6" t="str">
        <x:v>Field</x:v>
      </x:c>
      <x:c r="I62" s="6" t="str">
        <x:v>Automatically added from canonical I/O; exact device selection open</x:v>
      </x:c>
      <x:c r="J62" s="6" t="str">
        <x:v>=FC01+FLD-B130</x:v>
      </x:c>
    </x:row>
    <x:row r="63" ht="54" customHeight="1">
      <x:c r="A63" s="6" t="str">
        <x:v>BOM-062</x:v>
      </x:c>
      <x:c r="B63" s="6" t="str">
        <x:v>-B131</x:v>
      </x:c>
      <x:c r="C63" s="6" t="str">
        <x:v>Valve 2 closed proof</x:v>
      </x:c>
      <x:c r="D63" s="6" t="str"/>
      <x:c r="E63" s="6" t="str"/>
      <x:c r="F63" s="6" t="str">
        <x:v>1</x:v>
      </x:c>
      <x:c r="G63" s="6" t="str">
        <x:v>TBD</x:v>
      </x:c>
      <x:c r="H63" s="6" t="str">
        <x:v>Field</x:v>
      </x:c>
      <x:c r="I63" s="6" t="str">
        <x:v>Automatically added from canonical I/O; exact device selection open</x:v>
      </x:c>
      <x:c r="J63" s="6" t="str">
        <x:v>=FC01+FLD-B131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33.75" hidden="0" customWidth="1"/>
  </x:cols>
  <x:sheetData>
    <x:row r="1" ht="31.5" customHeight="1">
      <x:c r="A1" s="12" t="str">
        <x:v>load</x:v>
      </x:c>
      <x:c r="B1" s="12" t="str">
        <x:v>voltage</x:v>
      </x:c>
      <x:c r="C1" s="12" t="str">
        <x:v>nominal_w</x:v>
      </x:c>
      <x:c r="D1" s="12" t="str">
        <x:v>demand_factor</x:v>
      </x:c>
      <x:c r="E1" s="12" t="str">
        <x:v>demand_w</x:v>
      </x:c>
      <x:c r="F1" s="12" t="str">
        <x:v>basis</x:v>
      </x:c>
    </x:row>
    <x:row r="2" ht="54" customHeight="1">
      <x:c r="A2" s="6" t="str">
        <x:v>PLC CPU and I/O</x:v>
      </x:c>
      <x:c r="B2" s="6" t="str">
        <x:v>24 VDC</x:v>
      </x:c>
      <x:c r="C2" s="6" t="str">
        <x:v>55</x:v>
      </x:c>
      <x:c r="D2" s="6" t="str">
        <x:v>1.0</x:v>
      </x:c>
      <x:c r="E2" s="6" t="str">
        <x:v>55</x:v>
      </x:c>
      <x:c r="F2" s="6" t="str">
        <x:v>Preliminary allowance; verify Siemens configuration</x:v>
      </x:c>
    </x:row>
    <x:row r="3" ht="54" customHeight="1">
      <x:c r="A3" s="6" t="str">
        <x:v>HMI</x:v>
      </x:c>
      <x:c r="B3" s="6" t="str">
        <x:v>24 VDC</x:v>
      </x:c>
      <x:c r="C3" s="6" t="str">
        <x:v>24</x:v>
      </x:c>
      <x:c r="D3" s="6" t="str">
        <x:v>1.0</x:v>
      </x:c>
      <x:c r="E3" s="6" t="str">
        <x:v>24</x:v>
      </x:c>
      <x:c r="F3" s="6" t="str">
        <x:v>Maximum-current allowance from product data</x:v>
      </x:c>
    </x:row>
    <x:row r="4" ht="54" customHeight="1">
      <x:c r="A4" s="6" t="str">
        <x:v>Relays, sensors and solenoids</x:v>
      </x:c>
      <x:c r="B4" s="6" t="str">
        <x:v>24 VDC</x:v>
      </x:c>
      <x:c r="C4" s="6" t="str">
        <x:v>150</x:v>
      </x:c>
      <x:c r="D4" s="6" t="str">
        <x:v>0.8</x:v>
      </x:c>
      <x:c r="E4" s="6" t="str">
        <x:v>120</x:v>
      </x:c>
      <x:c r="F4" s="6" t="str">
        <x:v>Duty-cycle allowance; inrush not finalized</x:v>
      </x:c>
    </x:row>
    <x:row r="5" ht="54" customHeight="1">
      <x:c r="A5" s="6" t="str">
        <x:v>Vision edge compute allowance</x:v>
      </x:c>
      <x:c r="B5" s="6" t="str">
        <x:v>24 VDC</x:v>
      </x:c>
      <x:c r="C5" s="6" t="str">
        <x:v>60</x:v>
      </x:c>
      <x:c r="D5" s="6" t="str">
        <x:v>1.0</x:v>
      </x:c>
      <x:c r="E5" s="6" t="str">
        <x:v>60</x:v>
      </x:c>
      <x:c r="F5" s="6" t="str">
        <x:v>Provisional branch -F220; carrier/input/inrush unconfirmed</x:v>
      </x:c>
    </x:row>
    <x:row r="6" ht="54" customHeight="1">
      <x:c r="A6" s="6" t="str">
        <x:v>Vision camera allowance</x:v>
      </x:c>
      <x:c r="B6" s="6" t="str">
        <x:v>24 VDC</x:v>
      </x:c>
      <x:c r="C6" s="6" t="str">
        <x:v>12</x:v>
      </x:c>
      <x:c r="D6" s="6" t="str">
        <x:v>1.0</x:v>
      </x:c>
      <x:c r="E6" s="6" t="str">
        <x:v>12</x:v>
      </x:c>
      <x:c r="F6" s="6" t="str">
        <x:v>Provisional branch -F221; PoE not assumed</x:v>
      </x:c>
    </x:row>
    <x:row r="7" ht="54" customHeight="1">
      <x:c r="A7" s="6" t="str">
        <x:v>Vision lighting allowance</x:v>
      </x:c>
      <x:c r="B7" s="6" t="str">
        <x:v>24 VDC</x:v>
      </x:c>
      <x:c r="C7" s="6" t="str">
        <x:v>20</x:v>
      </x:c>
      <x:c r="D7" s="6" t="str">
        <x:v>1.0</x:v>
      </x:c>
      <x:c r="E7" s="6" t="str">
        <x:v>20</x:v>
      </x:c>
      <x:c r="F7" s="6" t="str">
        <x:v>Provisional branch -F222; pulse duty/inrush unconfirmed</x:v>
      </x:c>
    </x:row>
    <x:row r="8" ht="54" customHeight="1">
      <x:c r="A8" s="6" t="str">
        <x:v>Vision service/network allowance</x:v>
      </x:c>
      <x:c r="B8" s="6" t="str">
        <x:v>24 VDC</x:v>
      </x:c>
      <x:c r="C8" s="6" t="str">
        <x:v>8</x:v>
      </x:c>
      <x:c r="D8" s="6" t="str">
        <x:v>1.0</x:v>
      </x:c>
      <x:c r="E8" s="6" t="str">
        <x:v>8</x:v>
      </x:c>
      <x:c r="F8" s="6" t="str">
        <x:v>Provisional branch -F223; maintenance-only service</x:v>
      </x:c>
    </x:row>
    <x:row r="9" ht="54" customHeight="1">
      <x:c r="A9" s="6" t="str">
        <x:v>24 VDC subtotal</x:v>
      </x:c>
      <x:c r="B9" s="6" t="str">
        <x:v>24 VDC</x:v>
      </x:c>
      <x:c r="C9" s="6" t="str">
        <x:v>329</x:v>
      </x:c>
      <x:c r="D9" s="6" t="str">
        <x:v>N/A</x:v>
      </x:c>
      <x:c r="E9" s="6" t="str">
        <x:v>299</x:v>
      </x:c>
      <x:c r="F9" s="6" t="str">
        <x:v>12.458 A demand; 20 A concept leaves 7.542 A (37.71% of rating) unused; minimum 15.573 A for 25% demand margin before inrush/derating</x:v>
      </x:c>
    </x:row>
    <x:row r="10" ht="54" customHeight="1">
      <x:c r="A10" s="6" t="str">
        <x:v>Conveyor drive</x:v>
      </x:c>
      <x:c r="B10" s="6" t="str">
        <x:v>400 VAC</x:v>
      </x:c>
      <x:c r="C10" s="6" t="str">
        <x:v>750</x:v>
      </x:c>
      <x:c r="D10" s="6" t="str">
        <x:v>1.0</x:v>
      </x:c>
      <x:c r="E10" s="6" t="str">
        <x:v>750</x:v>
      </x:c>
      <x:c r="F10" s="6" t="str">
        <x:v>Motor nameplate not supplied</x:v>
      </x:c>
    </x:row>
    <x:row r="11" ht="54" customHeight="1">
      <x:c r="A11" s="6" t="str">
        <x:v>Pump drive</x:v>
      </x:c>
      <x:c r="B11" s="6" t="str">
        <x:v>400 VAC</x:v>
      </x:c>
      <x:c r="C11" s="6" t="str">
        <x:v>750</x:v>
      </x:c>
      <x:c r="D11" s="6" t="str">
        <x:v>1.0</x:v>
      </x:c>
      <x:c r="E11" s="6" t="str">
        <x:v>750</x:v>
      </x:c>
      <x:c r="F11" s="6" t="str">
        <x:v>Pump curve/motor nameplate not supplied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0.630000114440918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0.630000114440918" hidden="0" customWidth="1"/>
    <x:col min="13" max="13" width="19.3799991607666" hidden="0" customWidth="1"/>
    <x:col min="14" max="14" width="33.75" hidden="0" customWidth="1"/>
    <x:col min="15" max="15" width="22.5" hidden="0" customWidth="1"/>
    <x:col min="16" max="16" width="19.3799991607666" hidden="0" customWidth="1"/>
  </x:cols>
  <x:sheetData>
    <x:row r="1" ht="31.5" customHeight="1">
      <x:c r="A1" s="12" t="str">
        <x:v>tag</x:v>
      </x:c>
      <x:c r="B1" s="12" t="str">
        <x:v>x_mm</x:v>
      </x:c>
      <x:c r="C1" s="12" t="str">
        <x:v>y_mm</x:v>
      </x:c>
      <x:c r="D1" s="12" t="str">
        <x:v>width_mm</x:v>
      </x:c>
      <x:c r="E1" s="12" t="str">
        <x:v>height_mm</x:v>
      </x:c>
      <x:c r="F1" s="12" t="str">
        <x:v>depth_mm</x:v>
      </x:c>
      <x:c r="G1" s="12" t="str">
        <x:v>mounting</x:v>
      </x:c>
      <x:c r="H1" s="12" t="str">
        <x:v>orientation</x:v>
      </x:c>
      <x:c r="I1" s="12" t="str">
        <x:v>zone</x:v>
      </x:c>
      <x:c r="J1" s="12" t="str">
        <x:v>top_clearance_mm</x:v>
      </x:c>
      <x:c r="K1" s="12" t="str">
        <x:v>bottom_clearance_mm</x:v>
      </x:c>
      <x:c r="L1" s="12" t="str">
        <x:v>side_clearance_mm</x:v>
      </x:c>
      <x:c r="M1" s="12" t="str">
        <x:v>heat_w</x:v>
      </x:c>
      <x:c r="N1" s="12" t="str">
        <x:v>dimension_basis</x:v>
      </x:c>
      <x:c r="O1" s="12" t="str">
        <x:v>placement_status</x:v>
      </x:c>
      <x:c r="P1" s="12" t="str">
        <x:v>full_designation</x:v>
      </x:c>
    </x:row>
    <x:row r="2" ht="54" customHeight="1">
      <x:c r="A2" s="6" t="str">
        <x:v>-A100</x:v>
      </x:c>
      <x:c r="B2" s="6" t="str">
        <x:v>300</x:v>
      </x:c>
      <x:c r="C2" s="6" t="str">
        <x:v>550</x:v>
      </x:c>
      <x:c r="D2" s="6" t="str">
        <x:v>35</x:v>
      </x:c>
      <x:c r="E2" s="6" t="str">
        <x:v>147</x:v>
      </x:c>
      <x:c r="F2" s="6" t="str">
        <x:v>129</x:v>
      </x:c>
      <x:c r="G2" s="6" t="str">
        <x:v>DIN rail R1</x:v>
      </x:c>
      <x:c r="H2" s="6" t="str">
        <x:v>Vertical unless manufacturer requires otherwise</x:v>
      </x:c>
      <x:c r="I2" s="6" t="str">
        <x:v>PLC / control</x:v>
      </x:c>
      <x:c r="J2" s="6" t="str">
        <x:v>25</x:v>
      </x:c>
      <x:c r="K2" s="6" t="str">
        <x:v>25</x:v>
      </x:c>
      <x:c r="L2" s="6" t="str">
        <x:v>0</x:v>
      </x:c>
      <x:c r="M2" s="6" t="str">
        <x:v>TBD</x:v>
      </x:c>
      <x:c r="N2" s="6" t="str">
        <x:v>Official Siemens product data; simplified rectangular selected-device envelope</x:v>
      </x:c>
      <x:c r="O2" s="6" t="str">
        <x:v>SELECTED BASELINE — native TIA catalog/configuration and accessory confirmation open</x:v>
      </x:c>
      <x:c r="P2" s="6" t="str">
        <x:v>=FC01+CP01-A100</x:v>
      </x:c>
    </x:row>
    <x:row r="3" ht="54" customHeight="1">
      <x:c r="A3" s="6" t="str">
        <x:v>-A101</x:v>
      </x:c>
      <x:c r="B3" s="6" t="str">
        <x:v>339</x:v>
      </x:c>
      <x:c r="C3" s="6" t="str">
        <x:v>550</x:v>
      </x:c>
      <x:c r="D3" s="6" t="str">
        <x:v>35</x:v>
      </x:c>
      <x:c r="E3" s="6" t="str">
        <x:v>147</x:v>
      </x:c>
      <x:c r="F3" s="6" t="str">
        <x:v>129</x:v>
      </x:c>
      <x:c r="G3" s="6" t="str">
        <x:v>DIN rail R1</x:v>
      </x:c>
      <x:c r="H3" s="6" t="str">
        <x:v>Vertical unless manufacturer requires otherwise</x:v>
      </x:c>
      <x:c r="I3" s="6" t="str">
        <x:v>PLC / control</x:v>
      </x:c>
      <x:c r="J3" s="6" t="str">
        <x:v>25</x:v>
      </x:c>
      <x:c r="K3" s="6" t="str">
        <x:v>25</x:v>
      </x:c>
      <x:c r="L3" s="6" t="str">
        <x:v>0</x:v>
      </x:c>
      <x:c r="M3" s="6" t="str">
        <x:v>TBD</x:v>
      </x:c>
      <x:c r="N3" s="6" t="str">
        <x:v>Official Siemens product data; simplified rectangular selected-device envelope</x:v>
      </x:c>
      <x:c r="O3" s="6" t="str">
        <x:v>SELECTED BASELINE — native TIA catalog/configuration and accessory confirmation open</x:v>
      </x:c>
      <x:c r="P3" s="6" t="str">
        <x:v>=FC01+CP01-A101</x:v>
      </x:c>
    </x:row>
    <x:row r="4" ht="54" customHeight="1">
      <x:c r="A4" s="6" t="str">
        <x:v>-A102</x:v>
      </x:c>
      <x:c r="B4" s="6" t="str">
        <x:v>378</x:v>
      </x:c>
      <x:c r="C4" s="6" t="str">
        <x:v>550</x:v>
      </x:c>
      <x:c r="D4" s="6" t="str">
        <x:v>35</x:v>
      </x:c>
      <x:c r="E4" s="6" t="str">
        <x:v>147</x:v>
      </x:c>
      <x:c r="F4" s="6" t="str">
        <x:v>129</x:v>
      </x:c>
      <x:c r="G4" s="6" t="str">
        <x:v>DIN rail R1</x:v>
      </x:c>
      <x:c r="H4" s="6" t="str">
        <x:v>Vertical unless manufacturer requires otherwise</x:v>
      </x:c>
      <x:c r="I4" s="6" t="str">
        <x:v>PLC / control</x:v>
      </x:c>
      <x:c r="J4" s="6" t="str">
        <x:v>25</x:v>
      </x:c>
      <x:c r="K4" s="6" t="str">
        <x:v>25</x:v>
      </x:c>
      <x:c r="L4" s="6" t="str">
        <x:v>0</x:v>
      </x:c>
      <x:c r="M4" s="6" t="str">
        <x:v>TBD</x:v>
      </x:c>
      <x:c r="N4" s="6" t="str">
        <x:v>Official Siemens product data; simplified rectangular selected-device envelope</x:v>
      </x:c>
      <x:c r="O4" s="6" t="str">
        <x:v>SELECTED BASELINE — native TIA catalog/configuration and accessory confirmation open</x:v>
      </x:c>
      <x:c r="P4" s="6" t="str">
        <x:v>=FC01+CP01-A102</x:v>
      </x:c>
    </x:row>
    <x:row r="5" ht="54" customHeight="1">
      <x:c r="A5" s="6" t="str">
        <x:v>-A103</x:v>
      </x:c>
      <x:c r="B5" s="6" t="str">
        <x:v>417</x:v>
      </x:c>
      <x:c r="C5" s="6" t="str">
        <x:v>550</x:v>
      </x:c>
      <x:c r="D5" s="6" t="str">
        <x:v>35</x:v>
      </x:c>
      <x:c r="E5" s="6" t="str">
        <x:v>147</x:v>
      </x:c>
      <x:c r="F5" s="6" t="str">
        <x:v>129</x:v>
      </x:c>
      <x:c r="G5" s="6" t="str">
        <x:v>DIN rail R1</x:v>
      </x:c>
      <x:c r="H5" s="6" t="str">
        <x:v>Vertical unless manufacturer requires otherwise</x:v>
      </x:c>
      <x:c r="I5" s="6" t="str">
        <x:v>PLC / control</x:v>
      </x:c>
      <x:c r="J5" s="6" t="str">
        <x:v>25</x:v>
      </x:c>
      <x:c r="K5" s="6" t="str">
        <x:v>25</x:v>
      </x:c>
      <x:c r="L5" s="6" t="str">
        <x:v>0</x:v>
      </x:c>
      <x:c r="M5" s="6" t="str">
        <x:v>TBD</x:v>
      </x:c>
      <x:c r="N5" s="6" t="str">
        <x:v>Official Siemens product data; simplified rectangular selected-device envelope</x:v>
      </x:c>
      <x:c r="O5" s="6" t="str">
        <x:v>SELECTED BASELINE — native TIA catalog/configuration and accessory confirmation open</x:v>
      </x:c>
      <x:c r="P5" s="6" t="str">
        <x:v>=FC01+CP01-A103</x:v>
      </x:c>
    </x:row>
    <x:row r="6" ht="54" customHeight="1">
      <x:c r="A6" s="6" t="str">
        <x:v>-A104</x:v>
      </x:c>
      <x:c r="B6" s="6" t="str">
        <x:v>456</x:v>
      </x:c>
      <x:c r="C6" s="6" t="str">
        <x:v>550</x:v>
      </x:c>
      <x:c r="D6" s="6" t="str">
        <x:v>35</x:v>
      </x:c>
      <x:c r="E6" s="6" t="str">
        <x:v>147</x:v>
      </x:c>
      <x:c r="F6" s="6" t="str">
        <x:v>129</x:v>
      </x:c>
      <x:c r="G6" s="6" t="str">
        <x:v>DIN rail R1</x:v>
      </x:c>
      <x:c r="H6" s="6" t="str">
        <x:v>Vertical unless manufacturer requires otherwise</x:v>
      </x:c>
      <x:c r="I6" s="6" t="str">
        <x:v>PLC / control</x:v>
      </x:c>
      <x:c r="J6" s="6" t="str">
        <x:v>25</x:v>
      </x:c>
      <x:c r="K6" s="6" t="str">
        <x:v>25</x:v>
      </x:c>
      <x:c r="L6" s="6" t="str">
        <x:v>0</x:v>
      </x:c>
      <x:c r="M6" s="6" t="str">
        <x:v>TBD</x:v>
      </x:c>
      <x:c r="N6" s="6" t="str">
        <x:v>Official Siemens product data; simplified rectangular selected-device envelope</x:v>
      </x:c>
      <x:c r="O6" s="6" t="str">
        <x:v>SELECTED BASELINE — native TIA catalog/configuration and accessory confirmation open</x:v>
      </x:c>
      <x:c r="P6" s="6" t="str">
        <x:v>=FC01+CP01-A104</x:v>
      </x:c>
    </x:row>
    <x:row r="7" ht="54" customHeight="1">
      <x:c r="A7" s="6" t="str">
        <x:v>-H100</x:v>
      </x:c>
      <x:c r="B7" s="6" t="str">
        <x:v>300.85</x:v>
      </x:c>
      <x:c r="C7" s="6" t="str">
        <x:v>329</x:v>
      </x:c>
      <x:c r="D7" s="6" t="str">
        <x:v>198.3</x:v>
      </x:c>
      <x:c r="E7" s="6" t="str">
        <x:v>142</x:v>
      </x:c>
      <x:c r="F7" s="6" t="str">
        <x:v>55.6</x:v>
      </x:c>
      <x:c r="G7" s="6" t="str">
        <x:v>Door cutout</x:v>
      </x:c>
      <x:c r="H7" s="6" t="str">
        <x:v>Vertical unless manufacturer requires otherwise</x:v>
      </x:c>
      <x:c r="I7" s="6" t="str">
        <x:v>HMI</x:v>
      </x:c>
      <x:c r="J7" s="6" t="str">
        <x:v>0</x:v>
      </x:c>
      <x:c r="K7" s="6" t="str">
        <x:v>0</x:v>
      </x:c>
      <x:c r="L7" s="6" t="str">
        <x:v>0</x:v>
      </x:c>
      <x:c r="M7" s="6" t="str">
        <x:v>TBD</x:v>
      </x:c>
      <x:c r="N7" s="6" t="str">
        <x:v>Official Siemens envelope/cutout: outer 214 x 158 x 63.6 mm; cutout 198.3 x 142 mm</x:v>
      </x:c>
      <x:c r="O7" s="6" t="str">
        <x:v>SELECTED BASELINE — native WinCC project/compile and door reinforcement open</x:v>
      </x:c>
      <x:c r="P7" s="6" t="str">
        <x:v>=FC01+CP01-H100</x:v>
      </x:c>
    </x:row>
    <x:row r="8" ht="54" customHeight="1">
      <x:c r="A8" s="6" t="str">
        <x:v>-U100</x:v>
      </x:c>
      <x:c r="B8" s="6" t="str">
        <x:v>80</x:v>
      </x:c>
      <x:c r="C8" s="6" t="str">
        <x:v>275</x:v>
      </x:c>
      <x:c r="D8" s="6" t="str">
        <x:v>73</x:v>
      </x:c>
      <x:c r="E8" s="6" t="str">
        <x:v>196</x:v>
      </x:c>
      <x:c r="F8" s="6" t="str">
        <x:v>225.4</x:v>
      </x:c>
      <x:c r="G8" s="6" t="str">
        <x:v>Direct mounting plate</x:v>
      </x:c>
      <x:c r="H8" s="6" t="str">
        <x:v>Vertical unless manufacturer requires otherwise</x:v>
      </x:c>
      <x:c r="I8" s="6" t="str">
        <x:v>Mains / drive heat</x:v>
      </x:c>
      <x:c r="J8" s="6" t="str">
        <x:v>80</x:v>
      </x:c>
      <x:c r="K8" s="6" t="str">
        <x:v>100</x:v>
      </x:c>
      <x:c r="L8" s="6" t="str">
        <x:v>0</x:v>
      </x:c>
      <x:c r="M8" s="6" t="str">
        <x:v>38.6</x:v>
      </x:c>
      <x:c r="N8" s="6" t="str">
        <x:v>Siemens order-number data sheet: 73 W x 196 H x 225.4 D mm; FSA PN</x:v>
      </x:c>
      <x:c r="O8" s="6" t="str">
        <x:v>SELECTED ENVELOPE; drive rating/duty and Startdrive configuration remain provisional</x:v>
      </x:c>
      <x:c r="P8" s="6" t="str">
        <x:v>=FC01+CP01-U100</x:v>
      </x:c>
    </x:row>
    <x:row r="9" ht="54" customHeight="1">
      <x:c r="A9" s="6" t="str">
        <x:v>-U101</x:v>
      </x:c>
      <x:c r="B9" s="6" t="str">
        <x:v>175</x:v>
      </x:c>
      <x:c r="C9" s="6" t="str">
        <x:v>275</x:v>
      </x:c>
      <x:c r="D9" s="6" t="str">
        <x:v>73</x:v>
      </x:c>
      <x:c r="E9" s="6" t="str">
        <x:v>196</x:v>
      </x:c>
      <x:c r="F9" s="6" t="str">
        <x:v>225.4</x:v>
      </x:c>
      <x:c r="G9" s="6" t="str">
        <x:v>Direct mounting plate</x:v>
      </x:c>
      <x:c r="H9" s="6" t="str">
        <x:v>Vertical unless manufacturer requires otherwise</x:v>
      </x:c>
      <x:c r="I9" s="6" t="str">
        <x:v>Mains / drive heat</x:v>
      </x:c>
      <x:c r="J9" s="6" t="str">
        <x:v>80</x:v>
      </x:c>
      <x:c r="K9" s="6" t="str">
        <x:v>100</x:v>
      </x:c>
      <x:c r="L9" s="6" t="str">
        <x:v>0</x:v>
      </x:c>
      <x:c r="M9" s="6" t="str">
        <x:v>38.6</x:v>
      </x:c>
      <x:c r="N9" s="6" t="str">
        <x:v>Siemens order-number data sheet: 73 W x 196 H x 225.4 D mm; FSA PN</x:v>
      </x:c>
      <x:c r="O9" s="6" t="str">
        <x:v>SELECTED ENVELOPE; drive rating/duty and Startdrive configuration remain provisional</x:v>
      </x:c>
      <x:c r="P9" s="6" t="str">
        <x:v>=FC01+CP01-U101</x:v>
      </x:c>
    </x:row>
    <x:row r="10" ht="54" customHeight="1">
      <x:c r="A10" s="6" t="str">
        <x:v>-SW100</x:v>
      </x:c>
      <x:c r="B10" s="6" t="str">
        <x:v>505</x:v>
      </x:c>
      <x:c r="C10" s="6" t="str">
        <x:v>550</x:v>
      </x:c>
      <x:c r="D10" s="6" t="str">
        <x:v>60</x:v>
      </x:c>
      <x:c r="E10" s="6" t="str">
        <x:v>147</x:v>
      </x:c>
      <x:c r="F10" s="6" t="str">
        <x:v>125</x:v>
      </x:c>
      <x:c r="G10" s="6" t="str">
        <x:v>DIN rail R1</x:v>
      </x:c>
      <x:c r="H10" s="6" t="str">
        <x:v>Vertical unless manufacturer requires otherwise</x:v>
      </x:c>
      <x:c r="I10" s="6" t="str">
        <x:v>Network</x:v>
      </x:c>
      <x:c r="J10" s="6" t="str">
        <x:v>25</x:v>
      </x:c>
      <x:c r="K10" s="6" t="str">
        <x:v>25</x:v>
      </x:c>
      <x:c r="L10" s="6" t="str">
        <x:v>5</x:v>
      </x:c>
      <x:c r="M10" s="6" t="str">
        <x:v>TBD</x:v>
      </x:c>
      <x:c r="N10" s="6" t="str">
        <x:v>Official Siemens technical data; controlled 5 mm lateral layout-clearance assumption; confirm against order-number installation data</x:v>
      </x:c>
      <x:c r="O10" s="6" t="str">
        <x:v>SELECTED NETWORK BASELINE — native configuration and site policy open</x:v>
      </x:c>
      <x:c r="P10" s="6" t="str">
        <x:v>=FC01+CP01-SW100</x:v>
      </x:c>
    </x:row>
    <x:row r="11" ht="54" customHeight="1">
      <x:c r="A11" s="6" t="str">
        <x:v>-FW100</x:v>
      </x:c>
      <x:c r="B11" s="6" t="str">
        <x:v>575</x:v>
      </x:c>
      <x:c r="C11" s="6" t="str">
        <x:v>550</x:v>
      </x:c>
      <x:c r="D11" s="6" t="str">
        <x:v>35</x:v>
      </x:c>
      <x:c r="E11" s="6" t="str">
        <x:v>147</x:v>
      </x:c>
      <x:c r="F11" s="6" t="str">
        <x:v>127</x:v>
      </x:c>
      <x:c r="G11" s="6" t="str">
        <x:v>DIN rail R1</x:v>
      </x:c>
      <x:c r="H11" s="6" t="str">
        <x:v>Vertical unless manufacturer requires otherwise</x:v>
      </x:c>
      <x:c r="I11" s="6" t="str">
        <x:v>Network</x:v>
      </x:c>
      <x:c r="J11" s="6" t="str">
        <x:v>25</x:v>
      </x:c>
      <x:c r="K11" s="6" t="str">
        <x:v>25</x:v>
      </x:c>
      <x:c r="L11" s="6" t="str">
        <x:v>5</x:v>
      </x:c>
      <x:c r="M11" s="6" t="str">
        <x:v>TBD</x:v>
      </x:c>
      <x:c r="N11" s="6" t="str">
        <x:v>Siemens S615/S615 EEC operating instructions; variant CAx confirmation open; controlled 5 mm lateral layout-clearance assumption; confirm against order-number installation data</x:v>
      </x:c>
      <x:c r="O11" s="6" t="str">
        <x:v>SELECTED NETWORK BASELINE — native configuration and site policy open</x:v>
      </x:c>
      <x:c r="P11" s="6" t="str">
        <x:v>=FC01+CP01-FW100</x:v>
      </x:c>
    </x:row>
    <x:row r="12" ht="54" customHeight="1">
      <x:c r="A12" s="6" t="str">
        <x:v>-PC200</x:v>
      </x:c>
      <x:c r="B12" s="6" t="str">
        <x:v>620</x:v>
      </x:c>
      <x:c r="C12" s="6" t="str">
        <x:v>540</x:v>
      </x:c>
      <x:c r="D12" s="6" t="str">
        <x:v>115</x:v>
      </x:c>
      <x:c r="E12" s="6" t="str">
        <x:v>165</x:v>
      </x:c>
      <x:c r="F12" s="6" t="str">
        <x:v>80</x:v>
      </x:c>
      <x:c r="G12" s="6" t="str">
        <x:v>DIN rail / shelf</x:v>
      </x:c>
      <x:c r="H12" s="6" t="str">
        <x:v>Vertical unless manufacturer requires otherwise</x:v>
      </x:c>
      <x:c r="I12" s="6" t="str">
        <x:v>Vision edge</x:v>
      </x:c>
      <x:c r="J12" s="6" t="str">
        <x:v>25</x:v>
      </x:c>
      <x:c r="K12" s="6" t="str">
        <x:v>25</x:v>
      </x:c>
      <x:c r="L12" s="6" t="str">
        <x:v>5</x:v>
      </x:c>
      <x:c r="M12" s="6" t="str">
        <x:v>TBD</x:v>
      </x:c>
      <x:c r="N12" s="6" t="str">
        <x:v>CONTROLLED ARCHITECTURE-ONLY ENVELOPE ASSUMPTION — carrier, cooling kit and interfaces not selected</x:v>
      </x:c>
      <x:c r="O12" s="6" t="str">
        <x:v>TBD — NOT PROCUREMENT OR CONSTRUCTION DATA; confirm industrial carrier, thermal solution, EMC and lifecycle</x:v>
      </x:c>
      <x:c r="P12" s="6" t="str">
        <x:v>=FC01+CP01-PC200</x:v>
      </x:c>
    </x:row>
    <x:row r="13" ht="54" customHeight="1">
      <x:c r="A13" s="6" t="str">
        <x:v>-PE100</x:v>
      </x:c>
      <x:c r="B13" s="6" t="str">
        <x:v>80</x:v>
      </x:c>
      <x:c r="C13" s="6" t="str">
        <x:v>45</x:v>
      </x:c>
      <x:c r="D13" s="6" t="str">
        <x:v>640</x:v>
      </x:c>
      <x:c r="E13" s="6" t="str">
        <x:v>15</x:v>
      </x:c>
      <x:c r="F13" s="6" t="str">
        <x:v>15</x:v>
      </x:c>
      <x:c r="G13" s="6" t="str">
        <x:v>Mounting plate</x:v>
      </x:c>
      <x:c r="H13" s="6" t="str">
        <x:v>Horizontal</x:v>
      </x:c>
      <x:c r="I13" s="6" t="str">
        <x:v>PE</x:v>
      </x:c>
      <x:c r="J13" s="6" t="str">
        <x:v>0</x:v>
      </x:c>
      <x:c r="K13" s="6" t="str">
        <x:v>0</x:v>
      </x:c>
      <x:c r="L13" s="6" t="str">
        <x:v>0</x:v>
      </x:c>
      <x:c r="M13" s="6" t="str">
        <x:v>TBD</x:v>
      </x:c>
      <x:c r="N13" s="6" t="str">
        <x:v>Controlled provisional bar envelope; section and fixing hardware open</x:v>
      </x:c>
      <x:c r="O13" s="6" t="str">
        <x:v>TBD — PE sizing, bonding points and fault-current basis required</x:v>
      </x:c>
      <x:c r="P13" s="6" t="str">
        <x:v>=FC01+CP01-PE100</x:v>
      </x:c>
    </x:row>
    <x:row r="14" ht="54" customHeight="1">
      <x:c r="A14" s="6" t="str">
        <x:v>-X100..-X199</x:v>
      </x:c>
      <x:c r="B14" s="6" t="str">
        <x:v>80</x:v>
      </x:c>
      <x:c r="C14" s="6" t="str">
        <x:v>90</x:v>
      </x:c>
      <x:c r="D14" s="6" t="str">
        <x:v>655</x:v>
      </x:c>
      <x:c r="E14" s="6" t="str">
        <x:v>50</x:v>
      </x:c>
      <x:c r="F14" s="6" t="str">
        <x:v>50</x:v>
      </x:c>
      <x:c r="G14" s="6" t="str">
        <x:v>DIN rail R4</x:v>
      </x:c>
      <x:c r="H14" s="6" t="str">
        <x:v>Horizontal terminal row</x:v>
      </x:c>
      <x:c r="I14" s="6" t="str">
        <x:v>Field termination</x:v>
      </x:c>
      <x:c r="J14" s="6" t="str">
        <x:v>0</x:v>
      </x:c>
      <x:c r="K14" s="6" t="str">
        <x:v>0</x:v>
      </x:c>
      <x:c r="L14" s="6" t="str">
        <x:v>0</x:v>
      </x:c>
      <x:c r="M14" s="6" t="str">
        <x:v>0</x:v>
      </x:c>
      <x:c r="N14" s="6" t="str">
        <x:v>Revision-E native schedule: 84 logical terminals plus controlled PE/shield terminal objects</x:v>
      </x:c>
      <x:c r="O14" s="6" t="str">
        <x:v>NATIVE GEOMETRY VERIFIED; terminal family, bridges, accessories and construction release remain open</x:v>
      </x:c>
      <x:c r="P14" s="6" t="str">
        <x:v>=FC01+CP01-X100..-X199</x:v>
      </x:c>
    </x:row>
    <x:row r="15" ht="54" customHeight="1">
      <x:c r="A15" s="6" t="str">
        <x:v>-WD100</x:v>
      </x:c>
      <x:c r="B15" s="6" t="str">
        <x:v>45</x:v>
      </x:c>
      <x:c r="C15" s="6" t="str">
        <x:v>175</x:v>
      </x:c>
      <x:c r="D15" s="6" t="str">
        <x:v>25</x:v>
      </x:c>
      <x:c r="E15" s="6" t="str">
        <x:v>545</x:v>
      </x:c>
      <x:c r="F15" s="6" t="str">
        <x:v>55</x:v>
      </x:c>
      <x:c r="G15" s="6" t="str">
        <x:v>Mounting plate</x:v>
      </x:c>
      <x:c r="H15" s="6" t="str">
        <x:v>Vertical duct</x:v>
      </x:c>
      <x:c r="I15" s="6" t="str">
        <x:v>Routing</x:v>
      </x:c>
      <x:c r="J15" s="6" t="str">
        <x:v>0</x:v>
      </x:c>
      <x:c r="K15" s="6" t="str">
        <x:v>0</x:v>
      </x:c>
      <x:c r="L15" s="6" t="str">
        <x:v>0</x:v>
      </x:c>
      <x:c r="M15" s="6" t="str">
        <x:v>TBD</x:v>
      </x:c>
      <x:c r="N15" s="6" t="str">
        <x:v>Controlled routing envelope; duct family and fill calculation open</x:v>
      </x:c>
      <x:c r="O15" s="6" t="str">
        <x:v>PROVISIONAL — VERIFY DUCT FILL, bend radius, conductor count and EMC separation</x:v>
      </x:c>
      <x:c r="P15" s="6" t="str">
        <x:v>=FC01+CP01-WD100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33.75" hidden="0" customWidth="1"/>
    <x:col min="3" max="3" width="19.3799991607666" hidden="0" customWidth="1"/>
    <x:col min="4" max="4" width="22.5" hidden="0" customWidth="1"/>
    <x:col min="5" max="5" width="19.3799991607666" hidden="0" customWidth="1"/>
    <x:col min="6" max="6" width="10.630000114440918" hidden="0" customWidth="1"/>
    <x:col min="7" max="7" width="33.75" hidden="0" customWidth="1"/>
  </x:cols>
  <x:sheetData>
    <x:row r="1" ht="31.5" customHeight="1">
      <x:c r="A1" s="12" t="str">
        <x:v>requirement_id</x:v>
      </x:c>
      <x:c r="B1" s="12" t="str">
        <x:v>requirement</x:v>
      </x:c>
      <x:c r="C1" s="12" t="str">
        <x:v>verification</x:v>
      </x:c>
      <x:c r="D1" s="12" t="str">
        <x:v>status</x:v>
      </x:c>
      <x:c r="E1" s="12" t="str">
        <x:v>design_artifact</x:v>
      </x:c>
      <x:c r="F1" s="12" t="str">
        <x:v>test_ids</x:v>
      </x:c>
      <x:c r="G1" s="12" t="str">
        <x:v>evidence</x:v>
      </x:c>
    </x:row>
    <x:row r="2" ht="54" customHeight="1">
      <x:c r="A2" s="6" t="str">
        <x:v>SYS-001</x:v>
      </x:c>
      <x:c r="B2" s="6" t="str">
        <x:v>Receive and index exactly two bottles</x:v>
      </x:c>
      <x:c r="C2" s="6" t="str">
        <x:v>Review + deterministic simulation where applicable</x:v>
      </x:c>
      <x:c r="D2" s="6" t="str">
        <x:v>Implemented in reviewable sources; native Siemens verification blocked</x:v>
      </x:c>
      <x:c r="E2" s="6" t="str">
        <x:v>04_controls_siemens/scl/FB_MachineCoordinator.scl</x:v>
      </x:c>
      <x:c r="F2" s="6" t="str">
        <x:v>TC-001; TC-002; TC-003</x:v>
      </x:c>
      <x:c r="G2" s="6" t="str">
        <x:v>normal and missing-bottle traces</x:v>
      </x:c>
    </x:row>
    <x:row r="3" ht="54" customHeight="1">
      <x:c r="A3" s="6" t="str">
        <x:v>SYS-002</x:v>
      </x:c>
      <x:c r="B3" s="6" t="str">
        <x:v>Confirm both bottle positions before filling</x:v>
      </x:c>
      <x:c r="C3" s="6" t="str">
        <x:v>Review + deterministic simulation where applicable</x:v>
      </x:c>
      <x:c r="D3" s="6" t="str">
        <x:v>Implemented in reviewable sources; native Siemens verification blocked</x:v>
      </x:c>
      <x:c r="E3" s="6" t="str">
        <x:v>04_controls_siemens/scl/FB_MachineCoordinator.scl</x:v>
      </x:c>
      <x:c r="F3" s="6" t="str">
        <x:v>TC-002; TC-003; TC-004; TC-005</x:v>
      </x:c>
      <x:c r="G3" s="6" t="str">
        <x:v>bottle-sensor fault traces</x:v>
      </x:c>
    </x:row>
    <x:row r="4" ht="54" customHeight="1">
      <x:c r="A4" s="6" t="str">
        <x:v>SYS-003</x:v>
      </x:c>
      <x:c r="B4" s="6" t="str">
        <x:v>Stop conveyor before clamp engagement</x:v>
      </x:c>
      <x:c r="C4" s="6" t="str">
        <x:v>Review + deterministic simulation where applicable</x:v>
      </x:c>
      <x:c r="D4" s="6" t="str">
        <x:v>Implemented in reviewable sources; native Siemens verification blocked</x:v>
      </x:c>
      <x:c r="E4" s="6" t="str">
        <x:v>04_controls_siemens/scl/FB_MachineCoordinator.scl</x:v>
      </x:c>
      <x:c r="F4" s="6" t="str">
        <x:v>TC-001; TC-015</x:v>
      </x:c>
      <x:c r="G4" s="6" t="str">
        <x:v>normal and conveyor-fault traces</x:v>
      </x:c>
    </x:row>
    <x:row r="5" ht="54" customHeight="1">
      <x:c r="A5" s="6" t="str">
        <x:v>SYS-004</x:v>
      </x:c>
      <x:c r="B5" s="6" t="str">
        <x:v>Confirm gate and clamp feedback without contradiction</x:v>
      </x:c>
      <x:c r="C5" s="6" t="str">
        <x:v>Review + deterministic simulation where applicable</x:v>
      </x:c>
      <x:c r="D5" s="6" t="str">
        <x:v>Implemented in reviewable sources; native Siemens verification blocked</x:v>
      </x:c>
      <x:c r="E5" s="6" t="str">
        <x:v>04_controls_siemens/scl/FB_Actuator2Pos.scl</x:v>
      </x:c>
      <x:c r="F5" s="6" t="str">
        <x:v>TC-006; TC-007; TC-008</x:v>
      </x:c>
      <x:c r="G5" s="6" t="str">
        <x:v>actuator timeout/contradiction traces</x:v>
      </x:c>
    </x:row>
    <x:row r="6" ht="54" customHeight="1">
      <x:c r="A6" s="6" t="str">
        <x:v>SYS-005</x:v>
      </x:c>
      <x:c r="B6" s="6" t="str">
        <x:v>Zero and accumulate two independent high-speed pulse totals</x:v>
      </x:c>
      <x:c r="C6" s="6" t="str">
        <x:v>Review + deterministic simulation where applicable</x:v>
      </x:c>
      <x:c r="D6" s="6" t="str">
        <x:v>Implemented in reviewable sources; native Siemens verification blocked</x:v>
      </x:c>
      <x:c r="E6" s="6" t="str">
        <x:v>04_controls_siemens/scl/FB_FillChannel.scl; 04_controls_siemens/scl/DB_Global.scl</x:v>
      </x:c>
      <x:c r="F6" s="6" t="str">
        <x:v>TC-009; TC-010</x:v>
      </x:c>
      <x:c r="G6" s="6" t="str">
        <x:v>no-pulse and pulse/analog traces; native TM Count binding remains open</x:v>
      </x:c>
    </x:row>
    <x:row r="7" ht="54" customHeight="1">
      <x:c r="A7" s="6" t="str">
        <x:v>SYS-006</x:v>
      </x:c>
      <x:c r="B7" s="6" t="str">
        <x:v>Start common pump only with both fill paths permissive</x:v>
      </x:c>
      <x:c r="C7" s="6" t="str">
        <x:v>Review + deterministic simulation where applicable</x:v>
      </x:c>
      <x:c r="D7" s="6" t="str">
        <x:v>Implemented in reviewable sources; native Siemens verification blocked</x:v>
      </x:c>
      <x:c r="E7" s="6" t="str">
        <x:v>04_controls_siemens/scl/FB_CellMain.scl</x:v>
      </x:c>
      <x:c r="F7" s="6" t="str">
        <x:v>TC-014; TC-016; TC-017</x:v>
      </x:c>
      <x:c r="G7" s="6" t="str">
        <x:v>pump/utilities fault traces</x:v>
      </x:c>
    </x:row>
    <x:row r="8" ht="54" customHeight="1">
      <x:c r="A8" s="6" t="str">
        <x:v>SYS-007</x:v>
      </x:c>
      <x:c r="B8" s="6" t="str">
        <x:v>Close each fail-closed valve independently at target</x:v>
      </x:c>
      <x:c r="C8" s="6" t="str">
        <x:v>Review + deterministic simulation where applicable</x:v>
      </x:c>
      <x:c r="D8" s="6" t="str">
        <x:v>Implemented in reviewable sources; native Siemens verification blocked</x:v>
      </x:c>
      <x:c r="E8" s="6" t="str">
        <x:v>04_controls_siemens/scl/FB_FillChannel.scl</x:v>
      </x:c>
      <x:c r="F8" s="6" t="str">
        <x:v>TC-001; TC-012; TC-013</x:v>
      </x:c>
      <x:c r="G8" s="6" t="str">
        <x:v>normal, overfill and valve-close traces</x:v>
      </x:c>
    </x:row>
    <x:row r="9" ht="54" customHeight="1">
      <x:c r="A9" s="6" t="str">
        <x:v>SYS-008</x:v>
      </x:c>
      <x:c r="B9" s="6" t="str">
        <x:v>Scale and diagnose two 4–20 mA flow channels</x:v>
      </x:c>
      <x:c r="C9" s="6" t="str">
        <x:v>Review + deterministic simulation where applicable</x:v>
      </x:c>
      <x:c r="D9" s="6" t="str">
        <x:v>Implemented in reviewable sources; native Siemens verification blocked</x:v>
      </x:c>
      <x:c r="E9" s="6" t="str">
        <x:v>04_controls_siemens/scl/FB_FillChannel.scl; 10_schedules/plc_io.csv</x:v>
      </x:c>
      <x:c r="F9" s="6" t="str">
        <x:v>TC-010</x:v>
      </x:c>
      <x:c r="G9" s="6" t="str">
        <x:v>pulse/analog disagreement trace; native AI diagnostics remain open</x:v>
      </x:c>
    </x:row>
    <x:row r="10" ht="54" customHeight="1">
      <x:c r="A10" s="6" t="str">
        <x:v>SYS-009</x:v>
      </x:c>
      <x:c r="B10" s="6" t="str">
        <x:v>Detect no-flow, leakage, overfill, underfill and channel disagreement</x:v>
      </x:c>
      <x:c r="C10" s="6" t="str">
        <x:v>Review + deterministic simulation where applicable</x:v>
      </x:c>
      <x:c r="D10" s="6" t="str">
        <x:v>Implemented in reviewable sources; native Siemens verification blocked</x:v>
      </x:c>
      <x:c r="E10" s="6" t="str">
        <x:v>04_controls_siemens/scl/FB_FillChannel.scl</x:v>
      </x:c>
      <x:c r="F10" s="6" t="str">
        <x:v>TC-009; TC-010; TC-011; TC-012; TC-013</x:v>
      </x:c>
      <x:c r="G10" s="6" t="str">
        <x:v>five fill-fault traces</x:v>
      </x:c>
    </x:row>
    <x:row r="11" ht="54" customHeight="1">
      <x:c r="A11" s="6" t="str">
        <x:v>SYS-010</x:v>
      </x:c>
      <x:c r="B11" s="6" t="str">
        <x:v>Apply configurable drip-settle time</x:v>
      </x:c>
      <x:c r="C11" s="6" t="str">
        <x:v>Review + deterministic simulation where applicable</x:v>
      </x:c>
      <x:c r="D11" s="6" t="str">
        <x:v>Implemented in reviewable sources; native Siemens verification blocked</x:v>
      </x:c>
      <x:c r="E11" s="6" t="str">
        <x:v>04_controls_siemens/scl/FB_CellMain.scl; 04_controls_siemens/scl/FB_RecipeManager.scl</x:v>
      </x:c>
      <x:c r="F11" s="6" t="str">
        <x:v>TC-001</x:v>
      </x:c>
      <x:c r="G11" s="6" t="str">
        <x:v>normal trace includes drip-settle state</x:v>
      </x:c>
    </x:row>
    <x:row r="12" ht="54" customHeight="1">
      <x:c r="A12" s="6" t="str">
        <x:v>SYS-011</x:v>
      </x:c>
      <x:c r="B12" s="6" t="str">
        <x:v>Trigger vision using a monotonic inspection ID</x:v>
      </x:c>
      <x:c r="C12" s="6" t="str">
        <x:v>Review + deterministic simulation where applicable</x:v>
      </x:c>
      <x:c r="D12" s="6" t="str">
        <x:v>Implemented in reviewable sources; native Siemens verification blocked</x:v>
      </x:c>
      <x:c r="E12" s="6" t="str">
        <x:v>04_controls_siemens/scl/FB_VisionInterface.scl</x:v>
      </x:c>
      <x:c r="F12" s="6" t="str">
        <x:v>TC-001; TC-024</x:v>
      </x:c>
      <x:c r="G12" s="6" t="str">
        <x:v>normal and stale-ID traces</x:v>
      </x:c>
    </x:row>
    <x:row r="13" ht="54" customHeight="1">
      <x:c r="A13" s="6" t="str">
        <x:v>SYS-012</x:v>
      </x:c>
      <x:c r="B13" s="6" t="str">
        <x:v>Correlate result ID and reject stale or contradictory results</x:v>
      </x:c>
      <x:c r="C13" s="6" t="str">
        <x:v>Review + deterministic simulation where applicable</x:v>
      </x:c>
      <x:c r="D13" s="6" t="str">
        <x:v>Implemented in reviewable sources; native Siemens verification blocked</x:v>
      </x:c>
      <x:c r="E13" s="6" t="str">
        <x:v>04_controls_siemens/scl/FB_VisionInterface.scl</x:v>
      </x:c>
      <x:c r="F13" s="6" t="str">
        <x:v>TC-023; TC-024</x:v>
      </x:c>
      <x:c r="G13" s="6" t="str">
        <x:v>vision timeout and stale-ID traces</x:v>
      </x:c>
    </x:row>
    <x:row r="14" ht="54" customHeight="1">
      <x:c r="A14" s="6" t="str">
        <x:v>SYS-013</x:v>
      </x:c>
      <x:c r="B14" s="6" t="str">
        <x:v>Hold product on missing, uncertain, failed or low-confidence vision result</x:v>
      </x:c>
      <x:c r="C14" s="6" t="str">
        <x:v>Review + deterministic simulation where applicable</x:v>
      </x:c>
      <x:c r="D14" s="6" t="str">
        <x:v>Implemented in reviewable sources; native Siemens verification blocked</x:v>
      </x:c>
      <x:c r="E14" s="6" t="str">
        <x:v>04_controls_siemens/scl/FB_VisionInterface.scl</x:v>
      </x:c>
      <x:c r="F14" s="6" t="str">
        <x:v>TC-022; TC-023; TC-025; TC-026; TC-027</x:v>
      </x:c>
      <x:c r="G14" s="6" t="str">
        <x:v>vision uncertainty/failure traces</x:v>
      </x:c>
    </x:row>
    <x:row r="15" ht="54" customHeight="1">
      <x:c r="A15" s="6" t="str">
        <x:v>SYS-014</x:v>
      </x:c>
      <x:c r="B15" s="6" t="str">
        <x:v>Transfer only when process and quality acceptance are both true</x:v>
      </x:c>
      <x:c r="C15" s="6" t="str">
        <x:v>Review + deterministic simulation where applicable</x:v>
      </x:c>
      <x:c r="D15" s="6" t="str">
        <x:v>Implemented in reviewable sources; native Siemens verification blocked</x:v>
      </x:c>
      <x:c r="E15" s="6" t="str">
        <x:v>04_controls_siemens/scl/FB_MachineCoordinator.scl</x:v>
      </x:c>
      <x:c r="F15" s="6" t="str">
        <x:v>TC-001; TC-022; TC-025; TC-026</x:v>
      </x:c>
      <x:c r="G15" s="6" t="str">
        <x:v>normal release and quality-hold traces</x:v>
      </x:c>
    </x:row>
    <x:row r="16" ht="54" customHeight="1">
      <x:c r="A16" s="6" t="str">
        <x:v>SYS-015</x:v>
      </x:c>
      <x:c r="B16" s="6" t="str">
        <x:v>Exchange ready, busy, request, complete and fault with capper</x:v>
      </x:c>
      <x:c r="C16" s="6" t="str">
        <x:v>Review + deterministic simulation where applicable</x:v>
      </x:c>
      <x:c r="D16" s="6" t="str">
        <x:v>Implemented in reviewable sources; native Siemens verification blocked</x:v>
      </x:c>
      <x:c r="E16" s="6" t="str">
        <x:v>04_controls_siemens/scl/FB_CapperInterface.scl</x:v>
      </x:c>
      <x:c r="F16" s="6" t="str">
        <x:v>TC-018; TC-019; TC-020</x:v>
      </x:c>
      <x:c r="G16" s="6" t="str">
        <x:v>capper not-ready/busy/fault traces</x:v>
      </x:c>
    </x:row>
    <x:row r="17" ht="54" customHeight="1">
      <x:c r="A17" s="6" t="str">
        <x:v>SYS-016</x:v>
      </x:c>
      <x:c r="B17" s="6" t="str">
        <x:v>Prevent unintended restart following power or control recovery</x:v>
      </x:c>
      <x:c r="C17" s="6" t="str">
        <x:v>Review + deterministic simulation where applicable</x:v>
      </x:c>
      <x:c r="D17" s="6" t="str">
        <x:v>Implemented in reviewable sources; native Siemens verification blocked</x:v>
      </x:c>
      <x:c r="E17" s="6" t="str">
        <x:v>04_controls_siemens/scl/OB100_Startup.scl; 04_controls_siemens/scl/FB_MachineCoordinator.scl</x:v>
      </x:c>
      <x:c r="F17" s="6" t="str">
        <x:v>TC-029; TC-030; TC-031</x:v>
      </x:c>
      <x:c r="G17" s="6" t="str">
        <x:v>power-loss/restoration/reset traces</x:v>
      </x:c>
    </x:row>
    <x:row r="18" ht="54" customHeight="1">
      <x:c r="A18" s="6" t="str">
        <x:v>SYS-017</x:v>
      </x:c>
      <x:c r="B18" s="6" t="str">
        <x:v>Provide Auto, Manual/Setup, Holding, Controlled Stop, Fault and Recovery states</x:v>
      </x:c>
      <x:c r="C18" s="6" t="str">
        <x:v>Review + deterministic simulation where applicable</x:v>
      </x:c>
      <x:c r="D18" s="6" t="str">
        <x:v>Implemented in reviewable sources; native Siemens verification blocked</x:v>
      </x:c>
      <x:c r="E18" s="6" t="str">
        <x:v>04_controls_siemens/scl/00_types.scl; 04_controls_siemens/scl/FB_MachineCoordinator.scl</x:v>
      </x:c>
      <x:c r="F18" s="6" t="str">
        <x:v>TC-001; TC-031; TC-032</x:v>
      </x:c>
      <x:c r="G18" s="6" t="str">
        <x:v>normal/recovery/manual traces</x:v>
      </x:c>
    </x:row>
    <x:row r="19" ht="54" customHeight="1">
      <x:c r="A19" s="6" t="str">
        <x:v>SYS-018</x:v>
      </x:c>
      <x:c r="B19" s="6" t="str">
        <x:v>Separate commands, feedbacks, permissives, interlocks, faults, warnings and diagnostics</x:v>
      </x:c>
      <x:c r="C19" s="6" t="str">
        <x:v>Review + deterministic simulation where applicable</x:v>
      </x:c>
      <x:c r="D19" s="6" t="str">
        <x:v>Implemented in reviewable sources; native Siemens verification blocked</x:v>
      </x:c>
      <x:c r="E19" s="6" t="str">
        <x:v>04_controls_siemens/scl/00_types.scl; 04_controls_siemens/scl/FB_CellMain.scl</x:v>
      </x:c>
      <x:c r="F19" s="6" t="str">
        <x:v>VAL-D-STATIC</x:v>
      </x:c>
      <x:c r="G19" s="6" t="str">
        <x:v>automated_validation_report.md source/data checks</x:v>
      </x:c>
    </x:row>
    <x:row r="20" ht="54" customHeight="1">
      <x:c r="A20" s="6" t="str">
        <x:v>SYS-019</x:v>
      </x:c>
      <x:c r="B20" s="6" t="str">
        <x:v>Monitor external safety status only; standard PLC and AI are not safety functions</x:v>
      </x:c>
      <x:c r="C20" s="6" t="str">
        <x:v>Review + deterministic simulation where applicable</x:v>
      </x:c>
      <x:c r="D20" s="6" t="str">
        <x:v>Implemented in reviewable sources; native Siemens verification blocked</x:v>
      </x:c>
      <x:c r="E20" s="6" t="str">
        <x:v>04_controls_siemens/scl/FB_CellMain.scl; 00_project_control/design_basis.md</x:v>
      </x:c>
      <x:c r="F20" s="6" t="str">
        <x:v>TC-029; SAFETY-OPEN</x:v>
      </x:c>
      <x:c r="G20" s="6" t="str">
        <x:v>power-loss trace; qualified safety validation remains blocked</x:v>
      </x:c>
    </x:row>
    <x:row r="21" ht="54" customHeight="1">
      <x:c r="A21" s="6" t="str">
        <x:v>SYS-020</x:v>
      </x:c>
      <x:c r="B21" s="6" t="str">
        <x:v>Provide first-out fault capture and separate alarm acknowledgement from reset</x:v>
      </x:c>
      <x:c r="C21" s="6" t="str">
        <x:v>Review + deterministic simulation where applicable</x:v>
      </x:c>
      <x:c r="D21" s="6" t="str">
        <x:v>Implemented in reviewable sources; native Siemens verification blocked</x:v>
      </x:c>
      <x:c r="E21" s="6" t="str">
        <x:v>04_controls_siemens/scl/FB_AlarmManager.scl; 10_schedules/alarms.csv</x:v>
      </x:c>
      <x:c r="F21" s="6" t="str">
        <x:v>TC-006; TC-009; TC-014; TC-020</x:v>
      </x:c>
      <x:c r="G21" s="6" t="str">
        <x:v>first-out fault traces across equipment classes</x:v>
      </x:c>
    </x:row>
    <x:row r="22" ht="54" customHeight="1">
      <x:c r="A22" s="6" t="str">
        <x:v>SYS-021</x:v>
      </x:c>
      <x:c r="B22" s="6" t="str">
        <x:v>Provide permission-controlled HMI commands with feedback and disabled reason</x:v>
      </x:c>
      <x:c r="C22" s="6" t="str">
        <x:v>Review + deterministic simulation where applicable</x:v>
      </x:c>
      <x:c r="D22" s="6" t="str">
        <x:v>Implemented in reviewable sources; native Siemens verification blocked</x:v>
      </x:c>
      <x:c r="E22" s="6" t="str">
        <x:v>04_controls_siemens/scl/FB_HMICommandManager.scl; 05_hmi/hmi_specification.md</x:v>
      </x:c>
      <x:c r="F22" s="6" t="str">
        <x:v>TC-021; TC-032</x:v>
      </x:c>
      <x:c r="G22" s="6" t="str">
        <x:v>HMI-loss and manual-interlock traces</x:v>
      </x:c>
    </x:row>
    <x:row r="23" ht="54" customHeight="1">
      <x:c r="A23" s="6" t="str">
        <x:v>SYS-022</x:v>
      </x:c>
      <x:c r="B23" s="6" t="str">
        <x:v>Provide deterministic simulator and fault-injection regression suite</x:v>
      </x:c>
      <x:c r="C23" s="6" t="str">
        <x:v>Review + deterministic simulation where applicable</x:v>
      </x:c>
      <x:c r="D23" s="6" t="str">
        <x:v>Implemented in reviewable sources; native Siemens verification blocked</x:v>
      </x:c>
      <x:c r="E23" s="6" t="str">
        <x:v>11_simulation/filling_cell_simulator.py; 11_simulation/tests</x:v>
      </x:c>
      <x:c r="F23" s="6" t="str">
        <x:v>TC-001..TC-032</x:v>
      </x:c>
      <x:c r="G23" s="6" t="str">
        <x:v>32 deterministic process scenarios plus 99 source/simulator/native-contract tests, 28 deterministic vision-fault scenarios, 86 edge-service tests and 17 interface-harness tests; see the executed report</x:v>
      </x:c>
    </x:row>
    <x:row r="24" ht="54" customHeight="1">
      <x:c r="A24" s="6" t="str">
        <x:v>SYS-023</x:v>
      </x:c>
      <x:c r="B24" s="6" t="str">
        <x:v>Maintain canonical tags across I/O, HMI, electrical, AI and tests</x:v>
      </x:c>
      <x:c r="C24" s="6" t="str">
        <x:v>Review + deterministic simulation where applicable</x:v>
      </x:c>
      <x:c r="D24" s="6" t="str">
        <x:v>Implemented in reviewable sources; native Siemens verification blocked</x:v>
      </x:c>
      <x:c r="E24" s="6" t="str">
        <x:v>00_project_control/canonical_model.json; scripts/validate_project.py</x:v>
      </x:c>
      <x:c r="F24" s="6" t="str">
        <x:v>VAL-D-STATIC</x:v>
      </x:c>
      <x:c r="G24" s="6" t="str">
        <x:v>Revision-E canonical/source/schedule/native-evidence validator; the executed report records the exact current check count</x:v>
      </x:c>
    </x:row>
    <x:row r="25" ht="54" customHeight="1">
      <x:c r="A25" s="6" t="str">
        <x:v>SYS-024</x:v>
      </x:c>
      <x:c r="B25" s="6" t="str">
        <x:v>Provide backup, restore and release-manifest procedure</x:v>
      </x:c>
      <x:c r="C25" s="6" t="str">
        <x:v>Review + deterministic simulation where applicable</x:v>
      </x:c>
      <x:c r="D25" s="6" t="str">
        <x:v>Implemented in reviewable sources; native Siemens verification blocked</x:v>
      </x:c>
      <x:c r="E25" s="6" t="str">
        <x:v>13_documentation/backup_recovery.md; scripts/build_manifest.py; scripts/verify_manifest.py</x:v>
      </x:c>
      <x:c r="F25" s="6" t="str">
        <x:v>PROC-RESTORE-OPEN; MANIFEST-VERIFY-001</x:v>
      </x:c>
      <x:c r="G25" s="6" t="str">
        <x:v>restore execution remains open; final deterministic manifest verification required</x:v>
      </x:c>
    </x:row>
    <x:row r="26" ht="54" customHeight="1">
      <x:c r="A26" s="6" t="str">
        <x:v>SYS-025</x:v>
      </x:c>
      <x:c r="B26" s="6" t="str">
        <x:v>No physical reject device is included; operator disposition is required</x:v>
      </x:c>
      <x:c r="C26" s="6" t="str">
        <x:v>Review + deterministic simulation where applicable</x:v>
      </x:c>
      <x:c r="D26" s="6" t="str">
        <x:v>Implemented in reviewable sources; native Siemens verification blocked</x:v>
      </x:c>
      <x:c r="E26" s="6" t="str">
        <x:v>04_controls_siemens/scl/FB_MachineCoordinator.scl; 13_documentation/functional_design_specification.md</x:v>
      </x:c>
      <x:c r="F26" s="6" t="str">
        <x:v>TC-025; TC-026</x:v>
      </x:c>
      <x:c r="G26" s="6" t="str">
        <x:v>low-confidence/failed-bottle traces enter HOLDING pending disposition</x:v>
      </x:c>
    </x:row>
    <x:row r="27" ht="54" customHeight="1">
      <x:c r="A27" s="6" t="str">
        <x:v>SYS-026</x:v>
      </x:c>
      <x:c r="B27" s="6" t="str">
        <x:v>Keep NVIDIA non-safety and unable to command actuators or bypass PLC interlocks</x:v>
      </x:c>
      <x:c r="C27" s="6" t="str">
        <x:v>Review plus deterministic source tests and structured behavioral fault injection where applicable</x:v>
      </x:c>
      <x:c r="D27" s="6" t="str">
        <x:v>Implemented locally where possible; external native/data/hardware acceptance remains explicit</x:v>
      </x:c>
      <x:c r="E27" s="6" t="str">
        <x:v>02_system_architecture/revision_f_vision_integration_architecture.md</x:v>
      </x:c>
      <x:c r="F27" s="6" t="str">
        <x:v>VFS-002; VFS-004</x:v>
      </x:c>
      <x:c r="G27" s="6" t="str">
        <x:v>Revision-F controlled source, schedule, test and review records</x:v>
      </x:c>
    </x:row>
    <x:row r="28" ht="54" customHeight="1">
      <x:c r="A28" s="6" t="str">
        <x:v>SYS-027</x:v>
      </x:c>
      <x:c r="B28" s="6" t="str">
        <x:v>Support camera, recorded-directory and explicitly synthetic non-production acquisition adapters</x:v>
      </x:c>
      <x:c r="C28" s="6" t="str">
        <x:v>Review plus deterministic source tests and structured behavioral fault injection where applicable</x:v>
      </x:c>
      <x:c r="D28" s="6" t="str">
        <x:v>Implemented locally where possible; external native/data/hardware acceptance remains explicit</x:v>
      </x:c>
      <x:c r="E28" s="6" t="str">
        <x:v>07_nvidia_vision/edge_service</x:v>
      </x:c>
      <x:c r="F28" s="6" t="str">
        <x:v>EDGE-PIPELINE</x:v>
      </x:c>
      <x:c r="G28" s="6" t="str">
        <x:v>Revision-F controlled source, schedule, test and review records</x:v>
      </x:c>
    </x:row>
    <x:row r="29" ht="54" customHeight="1">
      <x:c r="A29" s="6" t="str">
        <x:v>SYS-028</x:v>
      </x:c>
      <x:c r="B29" s="6" t="str">
        <x:v>Validate versioned configuration schema, reject unknown keys and publish configuration hashes</x:v>
      </x:c>
      <x:c r="C29" s="6" t="str">
        <x:v>Review plus deterministic source tests and structured behavioral fault injection where applicable</x:v>
      </x:c>
      <x:c r="D29" s="6" t="str">
        <x:v>Implemented locally where possible; external native/data/hardware acceptance remains explicit</x:v>
      </x:c>
      <x:c r="E29" s="6" t="str">
        <x:v>07_nvidia_vision/edge_service</x:v>
      </x:c>
      <x:c r="F29" s="6" t="str">
        <x:v>EDGE-CONFIG</x:v>
      </x:c>
      <x:c r="G29" s="6" t="str">
        <x:v>Revision-F controlled source, schedule, test and review records</x:v>
      </x:c>
    </x:row>
    <x:row r="30" ht="54" customHeight="1">
      <x:c r="A30" s="6" t="str">
        <x:v>SYS-029</x:v>
      </x:c>
      <x:c r="B30" s="6" t="str">
        <x:v>Correlate capture acknowledgement and processing state to the immutable inspection identity</x:v>
      </x:c>
      <x:c r="C30" s="6" t="str">
        <x:v>Review plus deterministic source tests and structured behavioral fault injection where applicable</x:v>
      </x:c>
      <x:c r="D30" s="6" t="str">
        <x:v>Implemented locally where possible; external native/data/hardware acceptance remains explicit</x:v>
      </x:c>
      <x:c r="E30" s="6" t="str">
        <x:v>04_controls_siemens/scl/FB_VisionInterface.scl; 07_nvidia_vision/edge_service</x:v>
      </x:c>
      <x:c r="F30" s="6" t="str">
        <x:v>EDGE-V3; SCL-V3</x:v>
      </x:c>
      <x:c r="G30" s="6" t="str">
        <x:v>Revision-F controlled source, schedule, test and review records</x:v>
      </x:c>
    </x:row>
    <x:row r="31" ht="54" customHeight="1">
      <x:c r="A31" s="6" t="str">
        <x:v>SYS-030</x:v>
      </x:c>
      <x:c r="B31" s="6" t="str">
        <x:v>Publish explicit PASS HOLD FAIL or FAULT disposition with structured reason bits</x:v>
      </x:c>
      <x:c r="C31" s="6" t="str">
        <x:v>Review plus deterministic source tests and structured behavioral fault injection where applicable</x:v>
      </x:c>
      <x:c r="D31" s="6" t="str">
        <x:v>Implemented locally where possible; external native/data/hardware acceptance remains explicit</x:v>
      </x:c>
      <x:c r="E31" s="6" t="str">
        <x:v>02_system_architecture/interface_control_document.md</x:v>
      </x:c>
      <x:c r="F31" s="6" t="str">
        <x:v>EDGE-V3; SCL-V3</x:v>
      </x:c>
      <x:c r="G31" s="6" t="str">
        <x:v>Revision-F controlled source, schedule, test and review records</x:v>
      </x:c>
    </x:row>
    <x:row r="32" ht="54" customHeight="1">
      <x:c r="A32" s="6" t="str">
        <x:v>SYS-031</x:v>
      </x:c>
      <x:c r="B32" s="6" t="str">
        <x:v>Bind model, dataset and calibration identities to each accepted result</x:v>
      </x:c>
      <x:c r="C32" s="6" t="str">
        <x:v>Review plus deterministic source tests and structured behavioral fault injection where applicable</x:v>
      </x:c>
      <x:c r="D32" s="6" t="str">
        <x:v>Implemented locally where possible; external native/data/hardware acceptance remains explicit</x:v>
      </x:c>
      <x:c r="E32" s="6" t="str">
        <x:v>07_nvidia_vision/plc_ai_interface_v3.md</x:v>
      </x:c>
      <x:c r="F32" s="6" t="str">
        <x:v>EDGE-V3</x:v>
      </x:c>
      <x:c r="G32" s="6" t="str">
        <x:v>Revision-F controlled source, schedule, test and review records</x:v>
      </x:c>
    </x:row>
    <x:row r="33" ht="54" customHeight="1">
      <x:c r="A33" s="6" t="str">
        <x:v>SYS-032</x:v>
      </x:c>
      <x:c r="B33" s="6" t="str">
        <x:v>Provide diagnostic UTC timestamps while retaining PLC monotonic timing as acceptance authority</x:v>
      </x:c>
      <x:c r="C33" s="6" t="str">
        <x:v>Review plus deterministic source tests and structured behavioral fault injection where applicable</x:v>
      </x:c>
      <x:c r="D33" s="6" t="str">
        <x:v>Implemented locally where possible; external native/data/hardware acceptance remains explicit</x:v>
      </x:c>
      <x:c r="E33" s="6" t="str">
        <x:v>02_system_architecture/revision_f_vision_integration_architecture.md</x:v>
      </x:c>
      <x:c r="F33" s="6" t="str">
        <x:v>EDGE-V3; VFS-020</x:v>
      </x:c>
      <x:c r="G33" s="6" t="str">
        <x:v>Revision-F controlled source, schedule, test and review records</x:v>
      </x:c>
    </x:row>
    <x:row r="34" ht="54" customHeight="1">
      <x:c r="A34" s="6" t="str">
        <x:v>SYS-033</x:v>
      </x:c>
      <x:c r="B34" s="6" t="str">
        <x:v>Expose service, camera, model, maintenance, queue and diagnostic health</x:v>
      </x:c>
      <x:c r="C34" s="6" t="str">
        <x:v>Review plus deterministic source tests and structured behavioral fault injection where applicable</x:v>
      </x:c>
      <x:c r="D34" s="6" t="str">
        <x:v>Implemented locally where possible; external native/data/hardware acceptance remains explicit</x:v>
      </x:c>
      <x:c r="E34" s="6" t="str">
        <x:v>05_hmi; 07_nvidia_vision/plc_ai_node_map.csv</x:v>
      </x:c>
      <x:c r="F34" s="6" t="str">
        <x:v>EDGE-V3; HMI-V3</x:v>
      </x:c>
      <x:c r="G34" s="6" t="str">
        <x:v>Revision-F controlled source, schedule, test and review records</x:v>
      </x:c>
    </x:row>
    <x:row r="35" ht="54" customHeight="1">
      <x:c r="A35" s="6" t="str">
        <x:v>SYS-034</x:v>
      </x:c>
      <x:c r="B35" s="6" t="str">
        <x:v>Fail closed when durable inspection audit records cannot be written</x:v>
      </x:c>
      <x:c r="C35" s="6" t="str">
        <x:v>Review plus deterministic source tests and structured behavioral fault injection where applicable</x:v>
      </x:c>
      <x:c r="D35" s="6" t="str">
        <x:v>Implemented locally where possible; external native/data/hardware acceptance remains explicit</x:v>
      </x:c>
      <x:c r="E35" s="6" t="str">
        <x:v>07_nvidia_vision/edge_service</x:v>
      </x:c>
      <x:c r="F35" s="6" t="str">
        <x:v>EDGE-AUDIT; VFS-021</x:v>
      </x:c>
      <x:c r="G35" s="6" t="str">
        <x:v>Revision-F controlled source, schedule, test and review records</x:v>
      </x:c>
    </x:row>
    <x:row r="36" ht="54" customHeight="1">
      <x:c r="A36" s="6" t="str">
        <x:v>SYS-035</x:v>
      </x:c>
      <x:c r="B36" s="6" t="str">
        <x:v>Version and hash dataset records and split by production lot to prevent leakage</x:v>
      </x:c>
      <x:c r="C36" s="6" t="str">
        <x:v>Review plus deterministic source tests and structured behavioral fault injection where applicable</x:v>
      </x:c>
      <x:c r="D36" s="6" t="str">
        <x:v>Implemented locally where possible; external native/data/hardware acceptance remains explicit</x:v>
      </x:c>
      <x:c r="E36" s="6" t="str">
        <x:v>07_nvidia_vision</x:v>
      </x:c>
      <x:c r="F36" s="6" t="str">
        <x:v>DATASET-TOOLS</x:v>
      </x:c>
      <x:c r="G36" s="6" t="str">
        <x:v>Revision-F controlled source, schedule, test and review records</x:v>
      </x:c>
    </x:row>
    <x:row r="37" ht="54" customHeight="1">
      <x:c r="A37" s="6" t="str">
        <x:v>SYS-036</x:v>
      </x:c>
      <x:c r="B37" s="6" t="str">
        <x:v>Provide reproducible evaluation, FAR/FRR, threshold and latency tooling without fabricated results</x:v>
      </x:c>
      <x:c r="C37" s="6" t="str">
        <x:v>Review plus deterministic source tests and structured behavioral fault injection where applicable</x:v>
      </x:c>
      <x:c r="D37" s="6" t="str">
        <x:v>Implemented locally where possible; external native/data/hardware acceptance remains explicit</x:v>
      </x:c>
      <x:c r="E37" s="6" t="str">
        <x:v>07_nvidia_vision</x:v>
      </x:c>
      <x:c r="F37" s="6" t="str">
        <x:v>EVAL-TOOLS</x:v>
      </x:c>
      <x:c r="G37" s="6" t="str">
        <x:v>Revision-F controlled source, schedule, test and review records</x:v>
      </x:c>
    </x:row>
    <x:row r="38" ht="54" customHeight="1">
      <x:c r="A38" s="6" t="str">
        <x:v>SYS-037</x:v>
      </x:c>
      <x:c r="B38" s="6" t="str">
        <x:v>Define optical resolution, exposure, motion-blur, glare, focus and calibration acceptance methods</x:v>
      </x:c>
      <x:c r="C38" s="6" t="str">
        <x:v>Review plus deterministic source tests and structured behavioral fault injection where applicable</x:v>
      </x:c>
      <x:c r="D38" s="6" t="str">
        <x:v>Implemented locally where possible; external native/data/hardware acceptance remains explicit</x:v>
      </x:c>
      <x:c r="E38" s="6" t="str">
        <x:v>07_nvidia_vision; 12_testing/AI_commissioning_procedure.md</x:v>
      </x:c>
      <x:c r="F38" s="6" t="str">
        <x:v>DOC-LINK</x:v>
      </x:c>
      <x:c r="G38" s="6" t="str">
        <x:v>Revision-F controlled source, schedule, test and review records</x:v>
      </x:c>
    </x:row>
    <x:row r="39" ht="54" customHeight="1">
      <x:c r="A39" s="6" t="str">
        <x:v>SYS-038</x:v>
      </x:c>
      <x:c r="B39" s="6" t="str">
        <x:v>Apply least-privilege certificate-based OPC UA across the controlled quality zone</x:v>
      </x:c>
      <x:c r="C39" s="6" t="str">
        <x:v>Review plus deterministic source tests and structured behavioral fault injection where applicable</x:v>
      </x:c>
      <x:c r="D39" s="6" t="str">
        <x:v>Implemented locally where possible; external native/data/hardware acceptance remains explicit</x:v>
      </x:c>
      <x:c r="E39" s="6" t="str">
        <x:v>13_documentation/network_cybersecurity.md</x:v>
      </x:c>
      <x:c r="F39" s="6" t="str">
        <x:v>OPCUA-INTEGRATION</x:v>
      </x:c>
      <x:c r="G39" s="6" t="str">
        <x:v>Revision-F controlled source, schedule, test and review records</x:v>
      </x:c>
    </x:row>
    <x:row r="40" ht="54" customHeight="1">
      <x:c r="A40" s="6" t="str">
        <x:v>SYS-039</x:v>
      </x:c>
      <x:c r="B40" s="6" t="str">
        <x:v>Retain bounded deployment rollback and independent model/configuration/calibration identities</x:v>
      </x:c>
      <x:c r="C40" s="6" t="str">
        <x:v>Review plus deterministic source tests and structured behavioral fault injection where applicable</x:v>
      </x:c>
      <x:c r="D40" s="6" t="str">
        <x:v>Implemented locally where possible; external native/data/hardware acceptance remains explicit</x:v>
      </x:c>
      <x:c r="E40" s="6" t="str">
        <x:v>13_documentation/ai_maintenance_backup.md</x:v>
      </x:c>
      <x:c r="F40" s="6" t="str">
        <x:v>DOC-LINK</x:v>
      </x:c>
      <x:c r="G40" s="6" t="str">
        <x:v>Revision-F controlled source, schedule, test and review records</x:v>
      </x:c>
    </x:row>
    <x:row r="41" ht="54" customHeight="1">
      <x:c r="A41" s="6" t="str">
        <x:v>SYS-040</x:v>
      </x:c>
      <x:c r="B41" s="6" t="str">
        <x:v>Do not retain raw production images by default and require an approved retention/privacy policy</x:v>
      </x:c>
      <x:c r="C41" s="6" t="str">
        <x:v>Review plus deterministic source tests and structured behavioral fault injection where applicable</x:v>
      </x:c>
      <x:c r="D41" s="6" t="str">
        <x:v>Implemented locally where possible; external native/data/hardware acceptance remains explicit</x:v>
      </x:c>
      <x:c r="E41" s="6" t="str">
        <x:v>02_system_architecture/revision_f_vision_integration_architecture.md</x:v>
      </x:c>
      <x:c r="F41" s="6" t="str">
        <x:v>DOC-LINK</x:v>
      </x:c>
      <x:c r="G41" s="6" t="str">
        <x:v>Revision-F controlled source, schedule, test and review records</x:v>
      </x:c>
    </x:row>
    <x:row r="42" ht="54" customHeight="1">
      <x:c r="A42" s="6" t="str">
        <x:v>SYS-041</x:v>
      </x:c>
      <x:c r="B42" s="6" t="str">
        <x:v>Reserve separately protected edge, camera, lighting and maintenance electrical branches</x:v>
      </x:c>
      <x:c r="C42" s="6" t="str">
        <x:v>Review plus deterministic source tests and structured behavioral fault injection where applicable</x:v>
      </x:c>
      <x:c r="D42" s="6" t="str">
        <x:v>Implemented locally where possible; external native/data/hardware acceptance remains explicit</x:v>
      </x:c>
      <x:c r="E42" s="6" t="str">
        <x:v>03_electrical/revision_f_nvidia_electrical_delta.md</x:v>
      </x:c>
      <x:c r="F42" s="6" t="str">
        <x:v>NED-CHECK</x:v>
      </x:c>
      <x:c r="G42" s="6" t="str">
        <x:v>Revision-F controlled source, schedule, test and review records</x:v>
      </x:c>
    </x:row>
    <x:row r="43" ht="54" customHeight="1">
      <x:c r="A43" s="6" t="str">
        <x:v>SYS-042</x:v>
      </x:c>
      <x:c r="B43" s="6" t="str">
        <x:v>Reject queue saturation, concurrent transaction reuse and results for unknown IDs</x:v>
      </x:c>
      <x:c r="C43" s="6" t="str">
        <x:v>Review plus deterministic source tests and structured behavioral fault injection where applicable</x:v>
      </x:c>
      <x:c r="D43" s="6" t="str">
        <x:v>Implemented locally where possible; external native/data/hardware acceptance remains explicit</x:v>
      </x:c>
      <x:c r="E43" s="6" t="str">
        <x:v>11_simulation/vision_fault_scenarios.json</x:v>
      </x:c>
      <x:c r="F43" s="6" t="str">
        <x:v>EDGE-V3; VFS-012; VFS-025</x:v>
      </x:c>
      <x:c r="G43" s="6" t="str">
        <x:v>Revision-F controlled source, schedule, test and review records</x:v>
      </x:c>
    </x:row>
    <x:row r="44" ht="54" customHeight="1">
      <x:c r="A44" s="6" t="str">
        <x:v>SYS-043</x:v>
      </x:c>
      <x:c r="B44" s="6" t="str">
        <x:v>Invalidate an active inspection on recipe change or unacceptable clock discontinuity</x:v>
      </x:c>
      <x:c r="C44" s="6" t="str">
        <x:v>Review plus deterministic source tests and structured behavioral fault injection where applicable</x:v>
      </x:c>
      <x:c r="D44" s="6" t="str">
        <x:v>Implemented locally where possible; external native/data/hardware acceptance remains explicit</x:v>
      </x:c>
      <x:c r="E44" s="6" t="str">
        <x:v>07_nvidia_vision/edge_service/opcua_adapter.py; 11_simulation/vision_fault_scenarios.json</x:v>
      </x:c>
      <x:c r="F44" s="6" t="str">
        <x:v>EDGE-V3; VFS-019; VFS-020</x:v>
      </x:c>
      <x:c r="G44" s="6" t="str">
        <x:v>Revision-F controlled source, schedule, test and review records</x:v>
      </x:c>
    </x:row>
    <x:row r="45" ht="54" customHeight="1">
      <x:c r="A45" s="6" t="str">
        <x:v>SYS-044</x:v>
      </x:c>
      <x:c r="B45" s="6" t="str">
        <x:v>Require explicit recovery and a new start following PLC or edge restart</x:v>
      </x:c>
      <x:c r="C45" s="6" t="str">
        <x:v>Review plus deterministic source tests and structured behavioral fault injection where applicable</x:v>
      </x:c>
      <x:c r="D45" s="6" t="str">
        <x:v>Implemented locally where possible; external native/data/hardware acceptance remains explicit</x:v>
      </x:c>
      <x:c r="E45" s="6" t="str">
        <x:v>11_simulation/revision_f_vision_sil.py</x:v>
      </x:c>
      <x:c r="F45" s="6" t="str">
        <x:v>VFS-017; VFS-018; VFS-027</x:v>
      </x:c>
      <x:c r="G45" s="6" t="str">
        <x:v>Revision-F controlled source, schedule, test and review records</x:v>
      </x:c>
    </x:row>
    <x:row r="46" ht="54" customHeight="1">
      <x:c r="A46" s="6" t="str">
        <x:v>SYS-045</x:v>
      </x:c>
      <x:c r="B46" s="6" t="str">
        <x:v>Keep flow and level instrumentation as the primary deterministic filling measurement</x:v>
      </x:c>
      <x:c r="C46" s="6" t="str">
        <x:v>Review plus deterministic source tests and structured behavioral fault injection where applicable</x:v>
      </x:c>
      <x:c r="D46" s="6" t="str">
        <x:v>Implemented locally where possible; external native/data/hardware acceptance remains explicit</x:v>
      </x:c>
      <x:c r="E46" s="6" t="str">
        <x:v>02_system_architecture/revision_f_vision_integration_architecture.md</x:v>
      </x:c>
      <x:c r="F46" s="6" t="str">
        <x:v>ARCH-OWNER</x:v>
      </x:c>
      <x:c r="G46" s="6" t="str">
        <x:v>Revision-F controlled source, schedule, test and review records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9.3799991607666" hidden="0" customWidth="1"/>
    <x:col min="3" max="3" width="19.3799991607666" hidden="0" customWidth="1"/>
    <x:col min="4" max="4" width="33.75" hidden="0" customWidth="1"/>
    <x:col min="5" max="5" width="19.3799991607666" hidden="0" customWidth="1"/>
    <x:col min="6" max="6" width="33.75" hidden="0" customWidth="1"/>
    <x:col min="7" max="7" width="19.3799991607666" hidden="0" customWidth="1"/>
  </x:cols>
  <x:sheetData>
    <x:row r="1" ht="31.5" customHeight="1">
      <x:c r="A1" s="12" t="str">
        <x:v>test_id</x:v>
      </x:c>
      <x:c r="B1" s="12" t="str">
        <x:v>scenario</x:v>
      </x:c>
      <x:c r="C1" s="12" t="str">
        <x:v>method</x:v>
      </x:c>
      <x:c r="D1" s="12" t="str">
        <x:v>expected</x:v>
      </x:c>
      <x:c r="E1" s="12" t="str">
        <x:v>native_plcsim</x:v>
      </x:c>
      <x:c r="F1" s="12" t="str">
        <x:v>evidence</x:v>
      </x:c>
      <x:c r="G1" s="12" t="str">
        <x:v>test_type</x:v>
      </x:c>
    </x:row>
    <x:row r="2" ht="54" customHeight="1">
      <x:c r="A2" s="6" t="str">
        <x:v>TC-001</x:v>
      </x:c>
      <x:c r="B2" s="6" t="str">
        <x:v>normal_two_bottle_cycle</x:v>
      </x:c>
      <x:c r="C2" s="6" t="str">
        <x:v>Deterministic Python simulation</x:v>
      </x:c>
      <x:c r="D2" s="6" t="str">
        <x:v>Exactly one pair releases only after independent fill completion, matched passing vision result and capper completion; no invariant violation</x:v>
      </x:c>
      <x:c r="E2" s="6" t="str">
        <x:v>INDEPENDENT PYTHON PASS; NATIVE PLCSIM NOT RUN</x:v>
      </x:c>
      <x:c r="F2" s="6" t="str">
        <x:v>11_simulation/outputs/traces/normal_two_bottle_cycle.csv; 11_simulation/outputs/scenario_results.csv</x:v>
      </x:c>
      <x:c r="G2" s="6" t="str">
        <x:v>DETERMINISTIC_PROCESS_SIMULATOR</x:v>
      </x:c>
    </x:row>
    <x:row r="3" ht="54" customHeight="1">
      <x:c r="A3" s="6" t="str">
        <x:v>TC-002</x:v>
      </x:c>
      <x:c r="B3" s="6" t="str">
        <x:v>single_missing_bottle</x:v>
      </x:c>
      <x:c r="C3" s="6" t="str">
        <x:v>Deterministic Python simulation</x:v>
      </x:c>
      <x:c r="D3" s="6" t="str">
        <x:v>Inject single missing bottle; no product release, pump/valves decommand on first-out condition, controlled HOLD/FAULT outcome and no automatic restart</x:v>
      </x:c>
      <x:c r="E3" s="6" t="str">
        <x:v>INDEPENDENT PYTHON PASS; NATIVE PLCSIM NOT RUN</x:v>
      </x:c>
      <x:c r="F3" s="6" t="str">
        <x:v>11_simulation/outputs/traces/single_missing_bottle.csv; 11_simulation/outputs/scenario_results.csv</x:v>
      </x:c>
      <x:c r="G3" s="6" t="str">
        <x:v>DETERMINISTIC_PROCESS_SIMULATOR</x:v>
      </x:c>
    </x:row>
    <x:row r="4" ht="54" customHeight="1">
      <x:c r="A4" s="6" t="str">
        <x:v>TC-003</x:v>
      </x:c>
      <x:c r="B4" s="6" t="str">
        <x:v>both_bottles_missing</x:v>
      </x:c>
      <x:c r="C4" s="6" t="str">
        <x:v>Deterministic Python simulation</x:v>
      </x:c>
      <x:c r="D4" s="6" t="str">
        <x:v>Inject both bottles missing; no product release, pump/valves decommand on first-out condition, controlled HOLD/FAULT outcome and no automatic restart</x:v>
      </x:c>
      <x:c r="E4" s="6" t="str">
        <x:v>INDEPENDENT PYTHON PASS; NATIVE PLCSIM NOT RUN</x:v>
      </x:c>
      <x:c r="F4" s="6" t="str">
        <x:v>11_simulation/outputs/traces/both_bottles_missing.csv; 11_simulation/outputs/scenario_results.csv</x:v>
      </x:c>
      <x:c r="G4" s="6" t="str">
        <x:v>DETERMINISTIC_PROCESS_SIMULATOR</x:v>
      </x:c>
    </x:row>
    <x:row r="5" ht="54" customHeight="1">
      <x:c r="A5" s="6" t="str">
        <x:v>TC-004</x:v>
      </x:c>
      <x:c r="B5" s="6" t="str">
        <x:v>bottle_sensor_stuck_on</x:v>
      </x:c>
      <x:c r="C5" s="6" t="str">
        <x:v>Deterministic Python simulation</x:v>
      </x:c>
      <x:c r="D5" s="6" t="str">
        <x:v>Inject bottle sensor stuck on; no product release, pump/valves decommand on first-out condition, controlled HOLD/FAULT outcome and no automatic restart</x:v>
      </x:c>
      <x:c r="E5" s="6" t="str">
        <x:v>INDEPENDENT PYTHON PASS; NATIVE PLCSIM NOT RUN</x:v>
      </x:c>
      <x:c r="F5" s="6" t="str">
        <x:v>11_simulation/outputs/traces/bottle_sensor_stuck_on.csv; 11_simulation/outputs/scenario_results.csv</x:v>
      </x:c>
      <x:c r="G5" s="6" t="str">
        <x:v>DETERMINISTIC_PROCESS_SIMULATOR</x:v>
      </x:c>
    </x:row>
    <x:row r="6" ht="54" customHeight="1">
      <x:c r="A6" s="6" t="str">
        <x:v>TC-005</x:v>
      </x:c>
      <x:c r="B6" s="6" t="str">
        <x:v>bottle_sensor_stuck_off</x:v>
      </x:c>
      <x:c r="C6" s="6" t="str">
        <x:v>Deterministic Python simulation</x:v>
      </x:c>
      <x:c r="D6" s="6" t="str">
        <x:v>Inject bottle sensor stuck off; no product release, pump/valves decommand on first-out condition, controlled HOLD/FAULT outcome and no automatic restart</x:v>
      </x:c>
      <x:c r="E6" s="6" t="str">
        <x:v>INDEPENDENT PYTHON PASS; NATIVE PLCSIM NOT RUN</x:v>
      </x:c>
      <x:c r="F6" s="6" t="str">
        <x:v>11_simulation/outputs/traces/bottle_sensor_stuck_off.csv; 11_simulation/outputs/scenario_results.csv</x:v>
      </x:c>
      <x:c r="G6" s="6" t="str">
        <x:v>DETERMINISTIC_PROCESS_SIMULATOR</x:v>
      </x:c>
    </x:row>
    <x:row r="7" ht="54" customHeight="1">
      <x:c r="A7" s="6" t="str">
        <x:v>TC-006</x:v>
      </x:c>
      <x:c r="B7" s="6" t="str">
        <x:v>gate_timeout</x:v>
      </x:c>
      <x:c r="C7" s="6" t="str">
        <x:v>Deterministic Python simulation</x:v>
      </x:c>
      <x:c r="D7" s="6" t="str">
        <x:v>Inject gate timeout; no product release, pump/valves decommand on first-out condition, controlled HOLD/FAULT outcome and no automatic restart</x:v>
      </x:c>
      <x:c r="E7" s="6" t="str">
        <x:v>INDEPENDENT PYTHON PASS; NATIVE PLCSIM NOT RUN</x:v>
      </x:c>
      <x:c r="F7" s="6" t="str">
        <x:v>11_simulation/outputs/traces/gate_timeout.csv; 11_simulation/outputs/scenario_results.csv</x:v>
      </x:c>
      <x:c r="G7" s="6" t="str">
        <x:v>DETERMINISTIC_PROCESS_SIMULATOR</x:v>
      </x:c>
    </x:row>
    <x:row r="8" ht="54" customHeight="1">
      <x:c r="A8" s="6" t="str">
        <x:v>TC-007</x:v>
      </x:c>
      <x:c r="B8" s="6" t="str">
        <x:v>clamp_timeout</x:v>
      </x:c>
      <x:c r="C8" s="6" t="str">
        <x:v>Deterministic Python simulation</x:v>
      </x:c>
      <x:c r="D8" s="6" t="str">
        <x:v>Inject clamp timeout; no product release, pump/valves decommand on first-out condition, controlled HOLD/FAULT outcome and no automatic restart</x:v>
      </x:c>
      <x:c r="E8" s="6" t="str">
        <x:v>INDEPENDENT PYTHON PASS; NATIVE PLCSIM NOT RUN</x:v>
      </x:c>
      <x:c r="F8" s="6" t="str">
        <x:v>11_simulation/outputs/traces/clamp_timeout.csv; 11_simulation/outputs/scenario_results.csv</x:v>
      </x:c>
      <x:c r="G8" s="6" t="str">
        <x:v>DETERMINISTIC_PROCESS_SIMULATOR</x:v>
      </x:c>
    </x:row>
    <x:row r="9" ht="54" customHeight="1">
      <x:c r="A9" s="6" t="str">
        <x:v>TC-008</x:v>
      </x:c>
      <x:c r="B9" s="6" t="str">
        <x:v>contradictory_actuator_feedback</x:v>
      </x:c>
      <x:c r="C9" s="6" t="str">
        <x:v>Deterministic Python simulation</x:v>
      </x:c>
      <x:c r="D9" s="6" t="str">
        <x:v>Inject contradictory actuator feedback; no product release, pump/valves decommand on first-out condition, controlled HOLD/FAULT outcome and no automatic restart</x:v>
      </x:c>
      <x:c r="E9" s="6" t="str">
        <x:v>INDEPENDENT PYTHON PASS; NATIVE PLCSIM NOT RUN</x:v>
      </x:c>
      <x:c r="F9" s="6" t="str">
        <x:v>11_simulation/outputs/traces/contradictory_actuator_feedback.csv; 11_simulation/outputs/scenario_results.csv</x:v>
      </x:c>
      <x:c r="G9" s="6" t="str">
        <x:v>DETERMINISTIC_PROCESS_SIMULATOR</x:v>
      </x:c>
    </x:row>
    <x:row r="10" ht="54" customHeight="1">
      <x:c r="A10" s="6" t="str">
        <x:v>TC-009</x:v>
      </x:c>
      <x:c r="B10" s="6" t="str">
        <x:v>flow_channel_no_pulse</x:v>
      </x:c>
      <x:c r="C10" s="6" t="str">
        <x:v>Deterministic Python simulation</x:v>
      </x:c>
      <x:c r="D10" s="6" t="str">
        <x:v>Inject flow channel no pulse; no product release, pump/valves decommand on first-out condition, controlled HOLD/FAULT outcome and no automatic restart</x:v>
      </x:c>
      <x:c r="E10" s="6" t="str">
        <x:v>INDEPENDENT PYTHON PASS; NATIVE PLCSIM NOT RUN</x:v>
      </x:c>
      <x:c r="F10" s="6" t="str">
        <x:v>11_simulation/outputs/traces/flow_channel_no_pulse.csv; 11_simulation/outputs/scenario_results.csv</x:v>
      </x:c>
      <x:c r="G10" s="6" t="str">
        <x:v>DETERMINISTIC_PROCESS_SIMULATOR</x:v>
      </x:c>
    </x:row>
    <x:row r="11" ht="54" customHeight="1">
      <x:c r="A11" s="6" t="str">
        <x:v>TC-010</x:v>
      </x:c>
      <x:c r="B11" s="6" t="str">
        <x:v>flow_analog_pulse_disagreement</x:v>
      </x:c>
      <x:c r="C11" s="6" t="str">
        <x:v>Deterministic Python simulation</x:v>
      </x:c>
      <x:c r="D11" s="6" t="str">
        <x:v>Inject flow analog pulse disagreement; no product release, pump/valves decommand on first-out condition, controlled HOLD/FAULT outcome and no automatic restart</x:v>
      </x:c>
      <x:c r="E11" s="6" t="str">
        <x:v>INDEPENDENT PYTHON PASS; NATIVE PLCSIM NOT RUN</x:v>
      </x:c>
      <x:c r="F11" s="6" t="str">
        <x:v>11_simulation/outputs/traces/flow_analog_pulse_disagreement.csv; 11_simulation/outputs/scenario_results.csv</x:v>
      </x:c>
      <x:c r="G11" s="6" t="str">
        <x:v>DETERMINISTIC_PROCESS_SIMULATOR</x:v>
      </x:c>
    </x:row>
    <x:row r="12" ht="54" customHeight="1">
      <x:c r="A12" s="6" t="str">
        <x:v>TC-011</x:v>
      </x:c>
      <x:c r="B12" s="6" t="str">
        <x:v>underfill</x:v>
      </x:c>
      <x:c r="C12" s="6" t="str">
        <x:v>Deterministic Python simulation</x:v>
      </x:c>
      <x:c r="D12" s="6" t="str">
        <x:v>Inject underfill; no product release, pump/valves decommand on first-out condition, controlled HOLD/FAULT outcome and no automatic restart</x:v>
      </x:c>
      <x:c r="E12" s="6" t="str">
        <x:v>INDEPENDENT PYTHON PASS; NATIVE PLCSIM NOT RUN</x:v>
      </x:c>
      <x:c r="F12" s="6" t="str">
        <x:v>11_simulation/outputs/traces/underfill.csv; 11_simulation/outputs/scenario_results.csv</x:v>
      </x:c>
      <x:c r="G12" s="6" t="str">
        <x:v>DETERMINISTIC_PROCESS_SIMULATOR</x:v>
      </x:c>
    </x:row>
    <x:row r="13" ht="54" customHeight="1">
      <x:c r="A13" s="6" t="str">
        <x:v>TC-012</x:v>
      </x:c>
      <x:c r="B13" s="6" t="str">
        <x:v>overfill</x:v>
      </x:c>
      <x:c r="C13" s="6" t="str">
        <x:v>Deterministic Python simulation</x:v>
      </x:c>
      <x:c r="D13" s="6" t="str">
        <x:v>Inject overfill; no product release, pump/valves decommand on first-out condition, controlled HOLD/FAULT outcome and no automatic restart</x:v>
      </x:c>
      <x:c r="E13" s="6" t="str">
        <x:v>INDEPENDENT PYTHON PASS; NATIVE PLCSIM NOT RUN</x:v>
      </x:c>
      <x:c r="F13" s="6" t="str">
        <x:v>11_simulation/outputs/traces/overfill.csv; 11_simulation/outputs/scenario_results.csv</x:v>
      </x:c>
      <x:c r="G13" s="6" t="str">
        <x:v>DETERMINISTIC_PROCESS_SIMULATOR</x:v>
      </x:c>
    </x:row>
    <x:row r="14" ht="54" customHeight="1">
      <x:c r="A14" s="6" t="str">
        <x:v>TC-013</x:v>
      </x:c>
      <x:c r="B14" s="6" t="str">
        <x:v>valve_fails_to_close</x:v>
      </x:c>
      <x:c r="C14" s="6" t="str">
        <x:v>Deterministic Python simulation</x:v>
      </x:c>
      <x:c r="D14" s="6" t="str">
        <x:v>Inject valve fails to close; no product release, pump/valves decommand on first-out condition, controlled HOLD/FAULT outcome and no automatic restart</x:v>
      </x:c>
      <x:c r="E14" s="6" t="str">
        <x:v>INDEPENDENT PYTHON PASS; NATIVE PLCSIM NOT RUN</x:v>
      </x:c>
      <x:c r="F14" s="6" t="str">
        <x:v>11_simulation/outputs/traces/valve_fails_to_close.csv; 11_simulation/outputs/scenario_results.csv</x:v>
      </x:c>
      <x:c r="G14" s="6" t="str">
        <x:v>DETERMINISTIC_PROCESS_SIMULATOR</x:v>
      </x:c>
    </x:row>
    <x:row r="15" ht="54" customHeight="1">
      <x:c r="A15" s="6" t="str">
        <x:v>TC-014</x:v>
      </x:c>
      <x:c r="B15" s="6" t="str">
        <x:v>pump_vfd_fault</x:v>
      </x:c>
      <x:c r="C15" s="6" t="str">
        <x:v>Deterministic Python simulation</x:v>
      </x:c>
      <x:c r="D15" s="6" t="str">
        <x:v>Inject pump vfd fault; no product release, pump/valves decommand on first-out condition, controlled HOLD/FAULT outcome and no automatic restart</x:v>
      </x:c>
      <x:c r="E15" s="6" t="str">
        <x:v>INDEPENDENT PYTHON PASS; NATIVE PLCSIM NOT RUN</x:v>
      </x:c>
      <x:c r="F15" s="6" t="str">
        <x:v>11_simulation/outputs/traces/pump_vfd_fault.csv; 11_simulation/outputs/scenario_results.csv</x:v>
      </x:c>
      <x:c r="G15" s="6" t="str">
        <x:v>DETERMINISTIC_PROCESS_SIMULATOR</x:v>
      </x:c>
    </x:row>
    <x:row r="16" ht="54" customHeight="1">
      <x:c r="A16" s="6" t="str">
        <x:v>TC-015</x:v>
      </x:c>
      <x:c r="B16" s="6" t="str">
        <x:v>conveyor_vfd_fault</x:v>
      </x:c>
      <x:c r="C16" s="6" t="str">
        <x:v>Deterministic Python simulation</x:v>
      </x:c>
      <x:c r="D16" s="6" t="str">
        <x:v>Inject conveyor vfd fault; no product release, pump/valves decommand on first-out condition, controlled HOLD/FAULT outcome and no automatic restart</x:v>
      </x:c>
      <x:c r="E16" s="6" t="str">
        <x:v>INDEPENDENT PYTHON PASS; NATIVE PLCSIM NOT RUN</x:v>
      </x:c>
      <x:c r="F16" s="6" t="str">
        <x:v>11_simulation/outputs/traces/conveyor_vfd_fault.csv; 11_simulation/outputs/scenario_results.csv</x:v>
      </x:c>
      <x:c r="G16" s="6" t="str">
        <x:v>DETERMINISTIC_PROCESS_SIMULATOR</x:v>
      </x:c>
    </x:row>
    <x:row r="17" ht="54" customHeight="1">
      <x:c r="A17" s="6" t="str">
        <x:v>TC-016</x:v>
      </x:c>
      <x:c r="B17" s="6" t="str">
        <x:v>air_pressure_loss</x:v>
      </x:c>
      <x:c r="C17" s="6" t="str">
        <x:v>Deterministic Python simulation</x:v>
      </x:c>
      <x:c r="D17" s="6" t="str">
        <x:v>Inject air pressure loss; no product release, pump/valves decommand on first-out condition, controlled HOLD/FAULT outcome and no automatic restart</x:v>
      </x:c>
      <x:c r="E17" s="6" t="str">
        <x:v>INDEPENDENT PYTHON PASS; NATIVE PLCSIM NOT RUN</x:v>
      </x:c>
      <x:c r="F17" s="6" t="str">
        <x:v>11_simulation/outputs/traces/air_pressure_loss.csv; 11_simulation/outputs/scenario_results.csv</x:v>
      </x:c>
      <x:c r="G17" s="6" t="str">
        <x:v>DETERMINISTIC_PROCESS_SIMULATOR</x:v>
      </x:c>
    </x:row>
    <x:row r="18" ht="54" customHeight="1">
      <x:c r="A18" s="6" t="str">
        <x:v>TC-017</x:v>
      </x:c>
      <x:c r="B18" s="6" t="str">
        <x:v>product_supply_loss</x:v>
      </x:c>
      <x:c r="C18" s="6" t="str">
        <x:v>Deterministic Python simulation</x:v>
      </x:c>
      <x:c r="D18" s="6" t="str">
        <x:v>Inject product supply loss; no product release, pump/valves decommand on first-out condition, controlled HOLD/FAULT outcome and no automatic restart</x:v>
      </x:c>
      <x:c r="E18" s="6" t="str">
        <x:v>INDEPENDENT PYTHON PASS; NATIVE PLCSIM NOT RUN</x:v>
      </x:c>
      <x:c r="F18" s="6" t="str">
        <x:v>11_simulation/outputs/traces/product_supply_loss.csv; 11_simulation/outputs/scenario_results.csv</x:v>
      </x:c>
      <x:c r="G18" s="6" t="str">
        <x:v>DETERMINISTIC_PROCESS_SIMULATOR</x:v>
      </x:c>
    </x:row>
    <x:row r="19" ht="54" customHeight="1">
      <x:c r="A19" s="6" t="str">
        <x:v>TC-018</x:v>
      </x:c>
      <x:c r="B19" s="6" t="str">
        <x:v>capper_not_ready</x:v>
      </x:c>
      <x:c r="C19" s="6" t="str">
        <x:v>Deterministic Python simulation</x:v>
      </x:c>
      <x:c r="D19" s="6" t="str">
        <x:v>Inject capper not ready; no product release, pump/valves decommand on first-out condition, controlled HOLD/FAULT outcome and no automatic restart</x:v>
      </x:c>
      <x:c r="E19" s="6" t="str">
        <x:v>INDEPENDENT PYTHON PASS; NATIVE PLCSIM NOT RUN</x:v>
      </x:c>
      <x:c r="F19" s="6" t="str">
        <x:v>11_simulation/outputs/traces/capper_not_ready.csv; 11_simulation/outputs/scenario_results.csv</x:v>
      </x:c>
      <x:c r="G19" s="6" t="str">
        <x:v>DETERMINISTIC_PROCESS_SIMULATOR</x:v>
      </x:c>
    </x:row>
    <x:row r="20" ht="54" customHeight="1">
      <x:c r="A20" s="6" t="str">
        <x:v>TC-019</x:v>
      </x:c>
      <x:c r="B20" s="6" t="str">
        <x:v>capper_busy_timeout</x:v>
      </x:c>
      <x:c r="C20" s="6" t="str">
        <x:v>Deterministic Python simulation</x:v>
      </x:c>
      <x:c r="D20" s="6" t="str">
        <x:v>Inject capper busy timeout; no product release, pump/valves decommand on first-out condition, controlled HOLD/FAULT outcome and no automatic restart</x:v>
      </x:c>
      <x:c r="E20" s="6" t="str">
        <x:v>INDEPENDENT PYTHON PASS; NATIVE PLCSIM NOT RUN</x:v>
      </x:c>
      <x:c r="F20" s="6" t="str">
        <x:v>11_simulation/outputs/traces/capper_busy_timeout.csv; 11_simulation/outputs/scenario_results.csv</x:v>
      </x:c>
      <x:c r="G20" s="6" t="str">
        <x:v>DETERMINISTIC_PROCESS_SIMULATOR</x:v>
      </x:c>
    </x:row>
    <x:row r="21" ht="54" customHeight="1">
      <x:c r="A21" s="6" t="str">
        <x:v>TC-020</x:v>
      </x:c>
      <x:c r="B21" s="6" t="str">
        <x:v>capper_fault</x:v>
      </x:c>
      <x:c r="C21" s="6" t="str">
        <x:v>Deterministic Python simulation</x:v>
      </x:c>
      <x:c r="D21" s="6" t="str">
        <x:v>Inject capper fault; no product release, pump/valves decommand on first-out condition, controlled HOLD/FAULT outcome and no automatic restart</x:v>
      </x:c>
      <x:c r="E21" s="6" t="str">
        <x:v>INDEPENDENT PYTHON PASS; NATIVE PLCSIM NOT RUN</x:v>
      </x:c>
      <x:c r="F21" s="6" t="str">
        <x:v>11_simulation/outputs/traces/capper_fault.csv; 11_simulation/outputs/scenario_results.csv</x:v>
      </x:c>
      <x:c r="G21" s="6" t="str">
        <x:v>DETERMINISTIC_PROCESS_SIMULATOR</x:v>
      </x:c>
    </x:row>
    <x:row r="22" ht="54" customHeight="1">
      <x:c r="A22" s="6" t="str">
        <x:v>TC-021</x:v>
      </x:c>
      <x:c r="B22" s="6" t="str">
        <x:v>hmi_communications_loss</x:v>
      </x:c>
      <x:c r="C22" s="6" t="str">
        <x:v>Deterministic Python simulation</x:v>
      </x:c>
      <x:c r="D22" s="6" t="str">
        <x:v>Inject hmi communications loss; no product release, pump/valves decommand on first-out condition, controlled HOLD/FAULT outcome and no automatic restart</x:v>
      </x:c>
      <x:c r="E22" s="6" t="str">
        <x:v>INDEPENDENT PYTHON PASS; NATIVE PLCSIM NOT RUN</x:v>
      </x:c>
      <x:c r="F22" s="6" t="str">
        <x:v>11_simulation/outputs/traces/hmi_communications_loss.csv; 11_simulation/outputs/scenario_results.csv</x:v>
      </x:c>
      <x:c r="G22" s="6" t="str">
        <x:v>DETERMINISTIC_PROCESS_SIMULATOR</x:v>
      </x:c>
    </x:row>
    <x:row r="23" ht="54" customHeight="1">
      <x:c r="A23" s="6" t="str">
        <x:v>TC-022</x:v>
      </x:c>
      <x:c r="B23" s="6" t="str">
        <x:v>vision_not_ready</x:v>
      </x:c>
      <x:c r="C23" s="6" t="str">
        <x:v>Deterministic Python simulation</x:v>
      </x:c>
      <x:c r="D23" s="6" t="str">
        <x:v>Inject vision not ready; no product release, pump/valves decommand on first-out condition, controlled HOLD/FAULT outcome and no automatic restart</x:v>
      </x:c>
      <x:c r="E23" s="6" t="str">
        <x:v>INDEPENDENT PYTHON PASS; NATIVE PLCSIM NOT RUN</x:v>
      </x:c>
      <x:c r="F23" s="6" t="str">
        <x:v>11_simulation/outputs/traces/vision_not_ready.csv; 11_simulation/outputs/scenario_results.csv</x:v>
      </x:c>
      <x:c r="G23" s="6" t="str">
        <x:v>DETERMINISTIC_PROCESS_SIMULATOR</x:v>
      </x:c>
    </x:row>
    <x:row r="24" ht="54" customHeight="1">
      <x:c r="A24" s="6" t="str">
        <x:v>TC-023</x:v>
      </x:c>
      <x:c r="B24" s="6" t="str">
        <x:v>vision_result_timeout</x:v>
      </x:c>
      <x:c r="C24" s="6" t="str">
        <x:v>Deterministic Python simulation</x:v>
      </x:c>
      <x:c r="D24" s="6" t="str">
        <x:v>Inject vision result timeout; no product release, pump/valves decommand on first-out condition, controlled HOLD/FAULT outcome and no automatic restart</x:v>
      </x:c>
      <x:c r="E24" s="6" t="str">
        <x:v>INDEPENDENT PYTHON PASS; NATIVE PLCSIM NOT RUN</x:v>
      </x:c>
      <x:c r="F24" s="6" t="str">
        <x:v>11_simulation/outputs/traces/vision_result_timeout.csv; 11_simulation/outputs/scenario_results.csv</x:v>
      </x:c>
      <x:c r="G24" s="6" t="str">
        <x:v>DETERMINISTIC_PROCESS_SIMULATOR</x:v>
      </x:c>
    </x:row>
    <x:row r="25" ht="54" customHeight="1">
      <x:c r="A25" s="6" t="str">
        <x:v>TC-024</x:v>
      </x:c>
      <x:c r="B25" s="6" t="str">
        <x:v>stale_inspection_id</x:v>
      </x:c>
      <x:c r="C25" s="6" t="str">
        <x:v>Deterministic Python simulation</x:v>
      </x:c>
      <x:c r="D25" s="6" t="str">
        <x:v>Inject stale inspection id; no product release, pump/valves decommand on first-out condition, controlled HOLD/FAULT outcome and no automatic restart</x:v>
      </x:c>
      <x:c r="E25" s="6" t="str">
        <x:v>INDEPENDENT PYTHON PASS; NATIVE PLCSIM NOT RUN</x:v>
      </x:c>
      <x:c r="F25" s="6" t="str">
        <x:v>11_simulation/outputs/traces/stale_inspection_id.csv; 11_simulation/outputs/scenario_results.csv</x:v>
      </x:c>
      <x:c r="G25" s="6" t="str">
        <x:v>DETERMINISTIC_PROCESS_SIMULATOR</x:v>
      </x:c>
    </x:row>
    <x:row r="26" ht="54" customHeight="1">
      <x:c r="A26" s="6" t="str">
        <x:v>TC-025</x:v>
      </x:c>
      <x:c r="B26" s="6" t="str">
        <x:v>low_confidence_inspection</x:v>
      </x:c>
      <x:c r="C26" s="6" t="str">
        <x:v>Deterministic Python simulation</x:v>
      </x:c>
      <x:c r="D26" s="6" t="str">
        <x:v>Inject low confidence inspection; no product release, pump/valves decommand on first-out condition, controlled HOLD/FAULT outcome and no automatic restart</x:v>
      </x:c>
      <x:c r="E26" s="6" t="str">
        <x:v>INDEPENDENT PYTHON PASS; NATIVE PLCSIM NOT RUN</x:v>
      </x:c>
      <x:c r="F26" s="6" t="str">
        <x:v>11_simulation/outputs/traces/low_confidence_inspection.csv; 11_simulation/outputs/scenario_results.csv</x:v>
      </x:c>
      <x:c r="G26" s="6" t="str">
        <x:v>DETERMINISTIC_PROCESS_SIMULATOR</x:v>
      </x:c>
    </x:row>
    <x:row r="27" ht="54" customHeight="1">
      <x:c r="A27" s="6" t="str">
        <x:v>TC-026</x:v>
      </x:c>
      <x:c r="B27" s="6" t="str">
        <x:v>one_bottle_fails</x:v>
      </x:c>
      <x:c r="C27" s="6" t="str">
        <x:v>Deterministic Python simulation</x:v>
      </x:c>
      <x:c r="D27" s="6" t="str">
        <x:v>Inject one bottle fails; no product release, pump/valves decommand on first-out condition, controlled HOLD/FAULT outcome and no automatic restart</x:v>
      </x:c>
      <x:c r="E27" s="6" t="str">
        <x:v>INDEPENDENT PYTHON PASS; NATIVE PLCSIM NOT RUN</x:v>
      </x:c>
      <x:c r="F27" s="6" t="str">
        <x:v>11_simulation/outputs/traces/one_bottle_fails.csv; 11_simulation/outputs/scenario_results.csv</x:v>
      </x:c>
      <x:c r="G27" s="6" t="str">
        <x:v>DETERMINISTIC_PROCESS_SIMULATOR</x:v>
      </x:c>
    </x:row>
    <x:row r="28" ht="54" customHeight="1">
      <x:c r="A28" s="6" t="str">
        <x:v>TC-027</x:v>
      </x:c>
      <x:c r="B28" s="6" t="str">
        <x:v>vision_heartbeat_loss</x:v>
      </x:c>
      <x:c r="C28" s="6" t="str">
        <x:v>Deterministic Python simulation</x:v>
      </x:c>
      <x:c r="D28" s="6" t="str">
        <x:v>Inject vision heartbeat loss; no product release, pump/valves decommand on first-out condition, controlled HOLD/FAULT outcome and no automatic restart</x:v>
      </x:c>
      <x:c r="E28" s="6" t="str">
        <x:v>INDEPENDENT PYTHON PASS; NATIVE PLCSIM NOT RUN</x:v>
      </x:c>
      <x:c r="F28" s="6" t="str">
        <x:v>11_simulation/outputs/traces/vision_heartbeat_loss.csv; 11_simulation/outputs/scenario_results.csv</x:v>
      </x:c>
      <x:c r="G28" s="6" t="str">
        <x:v>DETERMINISTIC_PROCESS_SIMULATOR</x:v>
      </x:c>
    </x:row>
    <x:row r="29" ht="54" customHeight="1">
      <x:c r="A29" s="6" t="str">
        <x:v>TC-028</x:v>
      </x:c>
      <x:c r="B29" s="6" t="str">
        <x:v>plc_heartbeat_loss</x:v>
      </x:c>
      <x:c r="C29" s="6" t="str">
        <x:v>Deterministic Python simulation</x:v>
      </x:c>
      <x:c r="D29" s="6" t="str">
        <x:v>Inject plc heartbeat loss; no product release, pump/valves decommand on first-out condition, controlled HOLD/FAULT outcome and no automatic restart</x:v>
      </x:c>
      <x:c r="E29" s="6" t="str">
        <x:v>INDEPENDENT PYTHON PASS; NATIVE PLCSIM NOT RUN</x:v>
      </x:c>
      <x:c r="F29" s="6" t="str">
        <x:v>11_simulation/outputs/traces/plc_heartbeat_loss.csv; 11_simulation/outputs/scenario_results.csv</x:v>
      </x:c>
      <x:c r="G29" s="6" t="str">
        <x:v>DETERMINISTIC_PROCESS_SIMULATOR</x:v>
      </x:c>
    </x:row>
    <x:row r="30" ht="54" customHeight="1">
      <x:c r="A30" s="6" t="str">
        <x:v>TC-029</x:v>
      </x:c>
      <x:c r="B30" s="6" t="str">
        <x:v>power_loss_during_filling</x:v>
      </x:c>
      <x:c r="C30" s="6" t="str">
        <x:v>Deterministic Python simulation</x:v>
      </x:c>
      <x:c r="D30" s="6" t="str">
        <x:v>Inject power loss during filling; no product release, pump/valves decommand on first-out condition, controlled HOLD/FAULT outcome and no automatic restart</x:v>
      </x:c>
      <x:c r="E30" s="6" t="str">
        <x:v>INDEPENDENT PYTHON PASS; NATIVE PLCSIM NOT RUN</x:v>
      </x:c>
      <x:c r="F30" s="6" t="str">
        <x:v>11_simulation/outputs/traces/power_loss_during_filling.csv; 11_simulation/outputs/scenario_results.csv</x:v>
      </x:c>
      <x:c r="G30" s="6" t="str">
        <x:v>DETERMINISTIC_PROCESS_SIMULATOR</x:v>
      </x:c>
    </x:row>
    <x:row r="31" ht="54" customHeight="1">
      <x:c r="A31" s="6" t="str">
        <x:v>TC-030</x:v>
      </x:c>
      <x:c r="B31" s="6" t="str">
        <x:v>power_restoration</x:v>
      </x:c>
      <x:c r="C31" s="6" t="str">
        <x:v>Deterministic Python simulation</x:v>
      </x:c>
      <x:c r="D31" s="6" t="str">
        <x:v>Inject power restoration; no product release, pump/valves decommand on first-out condition, controlled HOLD/FAULT outcome and no automatic restart</x:v>
      </x:c>
      <x:c r="E31" s="6" t="str">
        <x:v>INDEPENDENT PYTHON PASS; NATIVE PLCSIM NOT RUN</x:v>
      </x:c>
      <x:c r="F31" s="6" t="str">
        <x:v>11_simulation/outputs/traces/power_restoration.csv; 11_simulation/outputs/scenario_results.csv</x:v>
      </x:c>
      <x:c r="G31" s="6" t="str">
        <x:v>DETERMINISTIC_PROCESS_SIMULATOR</x:v>
      </x:c>
    </x:row>
    <x:row r="32" ht="54" customHeight="1">
      <x:c r="A32" s="6" t="str">
        <x:v>TC-031</x:v>
      </x:c>
      <x:c r="B32" s="6" t="str">
        <x:v>reset_no_restart</x:v>
      </x:c>
      <x:c r="C32" s="6" t="str">
        <x:v>Deterministic Python simulation</x:v>
      </x:c>
      <x:c r="D32" s="6" t="str">
        <x:v>Inject reset no restart; no product release, pump/valves decommand on first-out condition, controlled HOLD/FAULT outcome and no automatic restart</x:v>
      </x:c>
      <x:c r="E32" s="6" t="str">
        <x:v>INDEPENDENT PYTHON PASS; NATIVE PLCSIM NOT RUN</x:v>
      </x:c>
      <x:c r="F32" s="6" t="str">
        <x:v>11_simulation/outputs/traces/reset_no_restart.csv; 11_simulation/outputs/scenario_results.csv</x:v>
      </x:c>
      <x:c r="G32" s="6" t="str">
        <x:v>DETERMINISTIC_PROCESS_SIMULATOR</x:v>
      </x:c>
    </x:row>
    <x:row r="33" ht="54" customHeight="1">
      <x:c r="A33" s="6" t="str">
        <x:v>TC-032</x:v>
      </x:c>
      <x:c r="B33" s="6" t="str">
        <x:v>manual_mode_interlocks</x:v>
      </x:c>
      <x:c r="C33" s="6" t="str">
        <x:v>Deterministic Python simulation</x:v>
      </x:c>
      <x:c r="D33" s="6" t="str">
        <x:v>Inject manual mode interlocks; no product release, pump/valves decommand on first-out condition, controlled HOLD/FAULT outcome and no automatic restart</x:v>
      </x:c>
      <x:c r="E33" s="6" t="str">
        <x:v>INDEPENDENT PYTHON PASS; NATIVE PLCSIM NOT RUN</x:v>
      </x:c>
      <x:c r="F33" s="6" t="str">
        <x:v>11_simulation/outputs/traces/manual_mode_interlocks.csv; 11_simulation/outputs/scenario_results.csv</x:v>
      </x:c>
      <x:c r="G33" s="6" t="str">
        <x:v>DETERMINISTIC_PROCESS_SIMULATOR</x:v>
      </x:c>
    </x:row>
    <x:row r="34" ht="54" customHeight="1">
      <x:c r="A34" s="6" t="str">
        <x:v>VFS-001</x:v>
      </x:c>
      <x:c r="B34" s="6" t="str">
        <x:v>normal_pass</x:v>
      </x:c>
      <x:c r="C34" s="6" t="str">
        <x:v>Revision-F deterministic structured behavioral fault injection</x:v>
      </x:c>
      <x:c r="D34" s="6" t="str">
        <x:v>READY; no process-output command; no automatic restart; diagnostic NONE</x:v>
      </x:c>
      <x:c r="E34" s="6" t="str">
        <x:v>NOT RUN</x:v>
      </x:c>
      <x:c r="F34" s="6" t="str">
        <x:v>11_simulation/outputs/vision_fault_results.csv</x:v>
      </x:c>
      <x:c r="G34" s="6" t="str">
        <x:v>BEHAVIORAL_FAULT_INJECTION_MODEL</x:v>
      </x:c>
    </x:row>
    <x:row r="35" ht="54" customHeight="1">
      <x:c r="A35" s="6" t="str">
        <x:v>VFS-002</x:v>
      </x:c>
      <x:c r="B35" s="6" t="str">
        <x:v>valid_fail</x:v>
      </x:c>
      <x:c r="C35" s="6" t="str">
        <x:v>Revision-F deterministic structured behavioral fault injection</x:v>
      </x:c>
      <x:c r="D35" s="6" t="str">
        <x:v>HOLDING; no process-output command; no automatic restart; diagnostic QUALITY_FAIL</x:v>
      </x:c>
      <x:c r="E35" s="6" t="str">
        <x:v>NOT RUN</x:v>
      </x:c>
      <x:c r="F35" s="6" t="str">
        <x:v>11_simulation/outputs/vision_fault_results.csv</x:v>
      </x:c>
      <x:c r="G35" s="6" t="str">
        <x:v>BEHAVIORAL_FAULT_INJECTION_MODEL</x:v>
      </x:c>
    </x:row>
    <x:row r="36" ht="54" customHeight="1">
      <x:c r="A36" s="6" t="str">
        <x:v>VFS-003</x:v>
      </x:c>
      <x:c r="B36" s="6" t="str">
        <x:v>hold_result</x:v>
      </x:c>
      <x:c r="C36" s="6" t="str">
        <x:v>Revision-F deterministic structured behavioral fault injection</x:v>
      </x:c>
      <x:c r="D36" s="6" t="str">
        <x:v>HOLDING; no process-output command; no automatic restart; diagnostic QUALITY_HOLD</x:v>
      </x:c>
      <x:c r="E36" s="6" t="str">
        <x:v>NOT RUN</x:v>
      </x:c>
      <x:c r="F36" s="6" t="str">
        <x:v>11_simulation/outputs/vision_fault_results.csv</x:v>
      </x:c>
      <x:c r="G36" s="6" t="str">
        <x:v>BEHAVIORAL_FAULT_INJECTION_MODEL</x:v>
      </x:c>
    </x:row>
    <x:row r="37" ht="54" customHeight="1">
      <x:c r="A37" s="6" t="str">
        <x:v>VFS-004</x:v>
      </x:c>
      <x:c r="B37" s="6" t="str">
        <x:v>ai_timeout</x:v>
      </x:c>
      <x:c r="C37" s="6" t="str">
        <x:v>Revision-F deterministic structured behavioral fault injection</x:v>
      </x:c>
      <x:c r="D37" s="6" t="str">
        <x:v>HOLDING; no process-output command; no automatic restart; diagnostic RESULT_TIMEOUT</x:v>
      </x:c>
      <x:c r="E37" s="6" t="str">
        <x:v>NOT RUN</x:v>
      </x:c>
      <x:c r="F37" s="6" t="str">
        <x:v>11_simulation/outputs/vision_fault_results.csv</x:v>
      </x:c>
      <x:c r="G37" s="6" t="str">
        <x:v>BEHAVIORAL_FAULT_INJECTION_MODEL</x:v>
      </x:c>
    </x:row>
    <x:row r="38" ht="54" customHeight="1">
      <x:c r="A38" s="6" t="str">
        <x:v>VFS-005</x:v>
      </x:c>
      <x:c r="B38" s="6" t="str">
        <x:v>heartbeat_loss</x:v>
      </x:c>
      <x:c r="C38" s="6" t="str">
        <x:v>Revision-F deterministic structured behavioral fault injection</x:v>
      </x:c>
      <x:c r="D38" s="6" t="str">
        <x:v>FAULTED; no process-output command; no automatic restart; diagnostic EDGE_HEARTBEAT_LOSS</x:v>
      </x:c>
      <x:c r="E38" s="6" t="str">
        <x:v>NOT RUN</x:v>
      </x:c>
      <x:c r="F38" s="6" t="str">
        <x:v>11_simulation/outputs/vision_fault_results.csv</x:v>
      </x:c>
      <x:c r="G38" s="6" t="str">
        <x:v>BEHAVIORAL_FAULT_INJECTION_MODEL</x:v>
      </x:c>
    </x:row>
    <x:row r="39" ht="54" customHeight="1">
      <x:c r="A39" s="6" t="str">
        <x:v>VFS-006</x:v>
      </x:c>
      <x:c r="B39" s="6" t="str">
        <x:v>camera_disconnected</x:v>
      </x:c>
      <x:c r="C39" s="6" t="str">
        <x:v>Revision-F deterministic structured behavioral fault injection</x:v>
      </x:c>
      <x:c r="D39" s="6" t="str">
        <x:v>FAULTED; no process-output command; no automatic restart; diagnostic CAMERA_DISCONNECTED</x:v>
      </x:c>
      <x:c r="E39" s="6" t="str">
        <x:v>NOT RUN</x:v>
      </x:c>
      <x:c r="F39" s="6" t="str">
        <x:v>11_simulation/outputs/vision_fault_results.csv</x:v>
      </x:c>
      <x:c r="G39" s="6" t="str">
        <x:v>BEHAVIORAL_FAULT_INJECTION_MODEL</x:v>
      </x:c>
    </x:row>
    <x:row r="40" ht="54" customHeight="1">
      <x:c r="A40" s="6" t="str">
        <x:v>VFS-007</x:v>
      </x:c>
      <x:c r="B40" s="6" t="str">
        <x:v>model_unavailable</x:v>
      </x:c>
      <x:c r="C40" s="6" t="str">
        <x:v>Revision-F deterministic structured behavioral fault injection</x:v>
      </x:c>
      <x:c r="D40" s="6" t="str">
        <x:v>FAULTED; no process-output command; no automatic restart; diagnostic MODEL_UNAVAILABLE</x:v>
      </x:c>
      <x:c r="E40" s="6" t="str">
        <x:v>NOT RUN</x:v>
      </x:c>
      <x:c r="F40" s="6" t="str">
        <x:v>11_simulation/outputs/vision_fault_results.csv</x:v>
      </x:c>
      <x:c r="G40" s="6" t="str">
        <x:v>BEHAVIORAL_FAULT_INJECTION_MODEL</x:v>
      </x:c>
    </x:row>
    <x:row r="41" ht="54" customHeight="1">
      <x:c r="A41" s="6" t="str">
        <x:v>VFS-008</x:v>
      </x:c>
      <x:c r="B41" s="6" t="str">
        <x:v>low_confidence</x:v>
      </x:c>
      <x:c r="C41" s="6" t="str">
        <x:v>Revision-F deterministic structured behavioral fault injection</x:v>
      </x:c>
      <x:c r="D41" s="6" t="str">
        <x:v>HOLDING; no process-output command; no automatic restart; diagnostic LOW_CONFIDENCE</x:v>
      </x:c>
      <x:c r="E41" s="6" t="str">
        <x:v>NOT RUN</x:v>
      </x:c>
      <x:c r="F41" s="6" t="str">
        <x:v>11_simulation/outputs/vision_fault_results.csv</x:v>
      </x:c>
      <x:c r="G41" s="6" t="str">
        <x:v>BEHAVIORAL_FAULT_INJECTION_MODEL</x:v>
      </x:c>
    </x:row>
    <x:row r="42" ht="54" customHeight="1">
      <x:c r="A42" s="6" t="str">
        <x:v>VFS-009</x:v>
      </x:c>
      <x:c r="B42" s="6" t="str">
        <x:v>malformed_result</x:v>
      </x:c>
      <x:c r="C42" s="6" t="str">
        <x:v>Revision-F deterministic structured behavioral fault injection</x:v>
      </x:c>
      <x:c r="D42" s="6" t="str">
        <x:v>FAULTED; no process-output command; no automatic restart; diagnostic MALFORMED_RESULT</x:v>
      </x:c>
      <x:c r="E42" s="6" t="str">
        <x:v>NOT RUN</x:v>
      </x:c>
      <x:c r="F42" s="6" t="str">
        <x:v>11_simulation/outputs/vision_fault_results.csv</x:v>
      </x:c>
      <x:c r="G42" s="6" t="str">
        <x:v>BEHAVIORAL_FAULT_INJECTION_MODEL</x:v>
      </x:c>
    </x:row>
    <x:row r="43" ht="54" customHeight="1">
      <x:c r="A43" s="6" t="str">
        <x:v>VFS-010</x:v>
      </x:c>
      <x:c r="B43" s="6" t="str">
        <x:v>stale_result_id</x:v>
      </x:c>
      <x:c r="C43" s="6" t="str">
        <x:v>Revision-F deterministic structured behavioral fault injection</x:v>
      </x:c>
      <x:c r="D43" s="6" t="str">
        <x:v>HOLDING; no process-output command; no automatic restart; diagnostic STALE_RESULT_ID</x:v>
      </x:c>
      <x:c r="E43" s="6" t="str">
        <x:v>NOT RUN</x:v>
      </x:c>
      <x:c r="F43" s="6" t="str">
        <x:v>11_simulation/outputs/vision_fault_results.csv</x:v>
      </x:c>
      <x:c r="G43" s="6" t="str">
        <x:v>BEHAVIORAL_FAULT_INJECTION_MODEL</x:v>
      </x:c>
    </x:row>
    <x:row r="44" ht="54" customHeight="1">
      <x:c r="A44" s="6" t="str">
        <x:v>VFS-011</x:v>
      </x:c>
      <x:c r="B44" s="6" t="str">
        <x:v>duplicate_result</x:v>
      </x:c>
      <x:c r="C44" s="6" t="str">
        <x:v>Revision-F deterministic structured behavioral fault injection</x:v>
      </x:c>
      <x:c r="D44" s="6" t="str">
        <x:v>HOLDING; no process-output command; no automatic restart; diagnostic DUPLICATE_RESULT</x:v>
      </x:c>
      <x:c r="E44" s="6" t="str">
        <x:v>NOT RUN</x:v>
      </x:c>
      <x:c r="F44" s="6" t="str">
        <x:v>11_simulation/outputs/vision_fault_results.csv</x:v>
      </x:c>
      <x:c r="G44" s="6" t="str">
        <x:v>BEHAVIORAL_FAULT_INJECTION_MODEL</x:v>
      </x:c>
    </x:row>
    <x:row r="45" ht="54" customHeight="1">
      <x:c r="A45" s="6" t="str">
        <x:v>VFS-012</x:v>
      </x:c>
      <x:c r="B45" s="6" t="str">
        <x:v>future_unknown_id</x:v>
      </x:c>
      <x:c r="C45" s="6" t="str">
        <x:v>Revision-F deterministic structured behavioral fault injection</x:v>
      </x:c>
      <x:c r="D45" s="6" t="str">
        <x:v>FAULTED; no process-output command; no automatic restart; diagnostic FUTURE_RESULT_ID</x:v>
      </x:c>
      <x:c r="E45" s="6" t="str">
        <x:v>NOT RUN</x:v>
      </x:c>
      <x:c r="F45" s="6" t="str">
        <x:v>11_simulation/outputs/vision_fault_results.csv</x:v>
      </x:c>
      <x:c r="G45" s="6" t="str">
        <x:v>BEHAVIORAL_FAULT_INJECTION_MODEL</x:v>
      </x:c>
    </x:row>
    <x:row r="46" ht="54" customHeight="1">
      <x:c r="A46" s="6" t="str">
        <x:v>VFS-013</x:v>
      </x:c>
      <x:c r="B46" s="6" t="str">
        <x:v>delayed_after_timeout</x:v>
      </x:c>
      <x:c r="C46" s="6" t="str">
        <x:v>Revision-F deterministic structured behavioral fault injection</x:v>
      </x:c>
      <x:c r="D46" s="6" t="str">
        <x:v>HOLDING; no process-output command; no automatic restart; diagnostic LATE_RESULT</x:v>
      </x:c>
      <x:c r="E46" s="6" t="str">
        <x:v>NOT RUN</x:v>
      </x:c>
      <x:c r="F46" s="6" t="str">
        <x:v>11_simulation/outputs/vision_fault_results.csv</x:v>
      </x:c>
      <x:c r="G46" s="6" t="str">
        <x:v>BEHAVIORAL_FAULT_INJECTION_MODEL</x:v>
      </x:c>
    </x:row>
    <x:row r="47" ht="54" customHeight="1">
      <x:c r="A47" s="6" t="str">
        <x:v>VFS-014</x:v>
      </x:c>
      <x:c r="B47" s="6" t="str">
        <x:v>reordered_messages</x:v>
      </x:c>
      <x:c r="C47" s="6" t="str">
        <x:v>Revision-F deterministic structured behavioral fault injection</x:v>
      </x:c>
      <x:c r="D47" s="6" t="str">
        <x:v>FAULTED; no process-output command; no automatic restart; diagnostic PUBLICATION_ORDER_FAULT</x:v>
      </x:c>
      <x:c r="E47" s="6" t="str">
        <x:v>NOT RUN</x:v>
      </x:c>
      <x:c r="F47" s="6" t="str">
        <x:v>11_simulation/outputs/vision_fault_results.csv</x:v>
      </x:c>
      <x:c r="G47" s="6" t="str">
        <x:v>BEHAVIORAL_FAULT_INJECTION_MODEL</x:v>
      </x:c>
    </x:row>
    <x:row r="48" ht="54" customHeight="1">
      <x:c r="A48" s="6" t="str">
        <x:v>VFS-015</x:v>
      </x:c>
      <x:c r="B48" s="6" t="str">
        <x:v>opcua_disconnect</x:v>
      </x:c>
      <x:c r="C48" s="6" t="str">
        <x:v>Revision-F deterministic structured behavioral fault injection</x:v>
      </x:c>
      <x:c r="D48" s="6" t="str">
        <x:v>FAULTED; no process-output command; no automatic restart; diagnostic OPCUA_DISCONNECTED</x:v>
      </x:c>
      <x:c r="E48" s="6" t="str">
        <x:v>NOT RUN</x:v>
      </x:c>
      <x:c r="F48" s="6" t="str">
        <x:v>11_simulation/outputs/vision_fault_results.csv</x:v>
      </x:c>
      <x:c r="G48" s="6" t="str">
        <x:v>BEHAVIORAL_FAULT_INJECTION_MODEL</x:v>
      </x:c>
    </x:row>
    <x:row r="49" ht="54" customHeight="1">
      <x:c r="A49" s="6" t="str">
        <x:v>VFS-016</x:v>
      </x:c>
      <x:c r="B49" s="6" t="str">
        <x:v>opcua_reconnection</x:v>
      </x:c>
      <x:c r="C49" s="6" t="str">
        <x:v>Revision-F deterministic structured behavioral fault injection</x:v>
      </x:c>
      <x:c r="D49" s="6" t="str">
        <x:v>HOLDING; no process-output command; no automatic restart; diagnostic RECONNECT_RECONCILIATION</x:v>
      </x:c>
      <x:c r="E49" s="6" t="str">
        <x:v>NOT RUN</x:v>
      </x:c>
      <x:c r="F49" s="6" t="str">
        <x:v>11_simulation/outputs/vision_fault_results.csv</x:v>
      </x:c>
      <x:c r="G49" s="6" t="str">
        <x:v>BEHAVIORAL_FAULT_INJECTION_MODEL</x:v>
      </x:c>
    </x:row>
    <x:row r="50" ht="54" customHeight="1">
      <x:c r="A50" s="6" t="str">
        <x:v>VFS-017</x:v>
      </x:c>
      <x:c r="B50" s="6" t="str">
        <x:v>edge_service_restart</x:v>
      </x:c>
      <x:c r="C50" s="6" t="str">
        <x:v>Revision-F deterministic structured behavioral fault injection</x:v>
      </x:c>
      <x:c r="D50" s="6" t="str">
        <x:v>HOLDING; no process-output command; no automatic restart; diagnostic EDGE_RESTART</x:v>
      </x:c>
      <x:c r="E50" s="6" t="str">
        <x:v>NOT RUN</x:v>
      </x:c>
      <x:c r="F50" s="6" t="str">
        <x:v>11_simulation/outputs/vision_fault_results.csv</x:v>
      </x:c>
      <x:c r="G50" s="6" t="str">
        <x:v>BEHAVIORAL_FAULT_INJECTION_MODEL</x:v>
      </x:c>
    </x:row>
    <x:row r="51" ht="54" customHeight="1">
      <x:c r="A51" s="6" t="str">
        <x:v>VFS-018</x:v>
      </x:c>
      <x:c r="B51" s="6" t="str">
        <x:v>plc_restart</x:v>
      </x:c>
      <x:c r="C51" s="6" t="str">
        <x:v>Revision-F deterministic structured behavioral fault injection</x:v>
      </x:c>
      <x:c r="D51" s="6" t="str">
        <x:v>STOPPED; no process-output command; no automatic restart; diagnostic PLC_SESSION_CHANGED</x:v>
      </x:c>
      <x:c r="E51" s="6" t="str">
        <x:v>NOT RUN</x:v>
      </x:c>
      <x:c r="F51" s="6" t="str">
        <x:v>11_simulation/outputs/vision_fault_results.csv</x:v>
      </x:c>
      <x:c r="G51" s="6" t="str">
        <x:v>BEHAVIORAL_FAULT_INJECTION_MODEL</x:v>
      </x:c>
    </x:row>
    <x:row r="52" ht="54" customHeight="1">
      <x:c r="A52" s="6" t="str">
        <x:v>VFS-019</x:v>
      </x:c>
      <x:c r="B52" s="6" t="str">
        <x:v>recipe_change_during_inspection</x:v>
      </x:c>
      <x:c r="C52" s="6" t="str">
        <x:v>Revision-F deterministic structured behavioral fault injection</x:v>
      </x:c>
      <x:c r="D52" s="6" t="str">
        <x:v>HOLDING; no process-output command; no automatic restart; diagnostic RECIPE_CHANGED</x:v>
      </x:c>
      <x:c r="E52" s="6" t="str">
        <x:v>NOT RUN</x:v>
      </x:c>
      <x:c r="F52" s="6" t="str">
        <x:v>11_simulation/outputs/vision_fault_results.csv</x:v>
      </x:c>
      <x:c r="G52" s="6" t="str">
        <x:v>BEHAVIORAL_FAULT_INJECTION_MODEL</x:v>
      </x:c>
    </x:row>
    <x:row r="53" ht="54" customHeight="1">
      <x:c r="A53" s="6" t="str">
        <x:v>VFS-020</x:v>
      </x:c>
      <x:c r="B53" s="6" t="str">
        <x:v>clock_discontinuity</x:v>
      </x:c>
      <x:c r="C53" s="6" t="str">
        <x:v>Revision-F deterministic structured behavioral fault injection</x:v>
      </x:c>
      <x:c r="D53" s="6" t="str">
        <x:v>HOLDING; no process-output command; no automatic restart; diagnostic CLOCK_DISCONTINUITY</x:v>
      </x:c>
      <x:c r="E53" s="6" t="str">
        <x:v>NOT RUN</x:v>
      </x:c>
      <x:c r="F53" s="6" t="str">
        <x:v>11_simulation/outputs/vision_fault_results.csv</x:v>
      </x:c>
      <x:c r="G53" s="6" t="str">
        <x:v>BEHAVIORAL_FAULT_INJECTION_MODEL</x:v>
      </x:c>
    </x:row>
    <x:row r="54" ht="54" customHeight="1">
      <x:c r="A54" s="6" t="str">
        <x:v>VFS-021</x:v>
      </x:c>
      <x:c r="B54" s="6" t="str">
        <x:v>log_storage_failure</x:v>
      </x:c>
      <x:c r="C54" s="6" t="str">
        <x:v>Revision-F deterministic structured behavioral fault injection</x:v>
      </x:c>
      <x:c r="D54" s="6" t="str">
        <x:v>FAULTED; no process-output command; no automatic restart; diagnostic AUDIT_STORAGE_FAILURE</x:v>
      </x:c>
      <x:c r="E54" s="6" t="str">
        <x:v>NOT RUN</x:v>
      </x:c>
      <x:c r="F54" s="6" t="str">
        <x:v>11_simulation/outputs/vision_fault_results.csv</x:v>
      </x:c>
      <x:c r="G54" s="6" t="str">
        <x:v>BEHAVIORAL_FAULT_INJECTION_MODEL</x:v>
      </x:c>
    </x:row>
    <x:row r="55" ht="54" customHeight="1">
      <x:c r="A55" s="6" t="str">
        <x:v>VFS-022</x:v>
      </x:c>
      <x:c r="B55" s="6" t="str">
        <x:v>corrupt_configuration</x:v>
      </x:c>
      <x:c r="C55" s="6" t="str">
        <x:v>Revision-F deterministic structured behavioral fault injection</x:v>
      </x:c>
      <x:c r="D55" s="6" t="str">
        <x:v>FAULTED; no process-output command; no automatic restart; diagnostic CONFIG_INVALID</x:v>
      </x:c>
      <x:c r="E55" s="6" t="str">
        <x:v>NOT RUN</x:v>
      </x:c>
      <x:c r="F55" s="6" t="str">
        <x:v>11_simulation/outputs/vision_fault_results.csv</x:v>
      </x:c>
      <x:c r="G55" s="6" t="str">
        <x:v>BEHAVIORAL_FAULT_INJECTION_MODEL</x:v>
      </x:c>
    </x:row>
    <x:row r="56" ht="54" customHeight="1">
      <x:c r="A56" s="6" t="str">
        <x:v>VFS-023</x:v>
      </x:c>
      <x:c r="B56" s="6" t="str">
        <x:v>invalid_model_hash</x:v>
      </x:c>
      <x:c r="C56" s="6" t="str">
        <x:v>Revision-F deterministic structured behavioral fault injection</x:v>
      </x:c>
      <x:c r="D56" s="6" t="str">
        <x:v>FAULTED; no process-output command; no automatic restart; diagnostic MODEL_HASH_MISMATCH</x:v>
      </x:c>
      <x:c r="E56" s="6" t="str">
        <x:v>NOT RUN</x:v>
      </x:c>
      <x:c r="F56" s="6" t="str">
        <x:v>11_simulation/outputs/vision_fault_results.csv</x:v>
      </x:c>
      <x:c r="G56" s="6" t="str">
        <x:v>BEHAVIORAL_FAULT_INJECTION_MODEL</x:v>
      </x:c>
    </x:row>
    <x:row r="57" ht="54" customHeight="1">
      <x:c r="A57" s="6" t="str">
        <x:v>VFS-024</x:v>
      </x:c>
      <x:c r="B57" s="6" t="str">
        <x:v>excessive_latency</x:v>
      </x:c>
      <x:c r="C57" s="6" t="str">
        <x:v>Revision-F deterministic structured behavioral fault injection</x:v>
      </x:c>
      <x:c r="D57" s="6" t="str">
        <x:v>HOLDING; no process-output command; no automatic restart; diagnostic LATENCY_EXCEEDED</x:v>
      </x:c>
      <x:c r="E57" s="6" t="str">
        <x:v>NOT RUN</x:v>
      </x:c>
      <x:c r="F57" s="6" t="str">
        <x:v>11_simulation/outputs/vision_fault_results.csv</x:v>
      </x:c>
      <x:c r="G57" s="6" t="str">
        <x:v>BEHAVIORAL_FAULT_INJECTION_MODEL</x:v>
      </x:c>
    </x:row>
    <x:row r="58" ht="54" customHeight="1">
      <x:c r="A58" s="6" t="str">
        <x:v>VFS-025</x:v>
      </x:c>
      <x:c r="B58" s="6" t="str">
        <x:v>queue_saturation</x:v>
      </x:c>
      <x:c r="C58" s="6" t="str">
        <x:v>Revision-F deterministic structured behavioral fault injection</x:v>
      </x:c>
      <x:c r="D58" s="6" t="str">
        <x:v>FAULTED; no process-output command; no automatic restart; diagnostic QUEUE_SATURATION</x:v>
      </x:c>
      <x:c r="E58" s="6" t="str">
        <x:v>NOT RUN</x:v>
      </x:c>
      <x:c r="F58" s="6" t="str">
        <x:v>11_simulation/outputs/vision_fault_results.csv</x:v>
      </x:c>
      <x:c r="G58" s="6" t="str">
        <x:v>BEHAVIORAL_FAULT_INJECTION_MODEL</x:v>
      </x:c>
    </x:row>
    <x:row r="59" ht="54" customHeight="1">
      <x:c r="A59" s="6" t="str">
        <x:v>VFS-026</x:v>
      </x:c>
      <x:c r="B59" s="6" t="str">
        <x:v>operator_bypass_request</x:v>
      </x:c>
      <x:c r="C59" s="6" t="str">
        <x:v>Revision-F deterministic structured behavioral fault injection</x:v>
      </x:c>
      <x:c r="D59" s="6" t="str">
        <x:v>HOLDING; no process-output command; no automatic restart; diagnostic BYPASS_REQUESTED</x:v>
      </x:c>
      <x:c r="E59" s="6" t="str">
        <x:v>NOT RUN</x:v>
      </x:c>
      <x:c r="F59" s="6" t="str">
        <x:v>11_simulation/outputs/vision_fault_results.csv</x:v>
      </x:c>
      <x:c r="G59" s="6" t="str">
        <x:v>BEHAVIORAL_FAULT_INJECTION_MODEL</x:v>
      </x:c>
    </x:row>
    <x:row r="60" ht="54" customHeight="1">
      <x:c r="A60" s="6" t="str">
        <x:v>VFS-027</x:v>
      </x:c>
      <x:c r="B60" s="6" t="str">
        <x:v>recovery_after_fault</x:v>
      </x:c>
      <x:c r="C60" s="6" t="str">
        <x:v>Revision-F deterministic structured behavioral fault injection</x:v>
      </x:c>
      <x:c r="D60" s="6" t="str">
        <x:v>STOPPED; no process-output command; no automatic restart; diagnostic RECOVERY_COMPLETE</x:v>
      </x:c>
      <x:c r="E60" s="6" t="str">
        <x:v>NOT RUN</x:v>
      </x:c>
      <x:c r="F60" s="6" t="str">
        <x:v>11_simulation/outputs/vision_fault_results.csv</x:v>
      </x:c>
      <x:c r="G60" s="6" t="str">
        <x:v>BEHAVIORAL_FAULT_INJECTION_MODEL</x:v>
      </x:c>
    </x:row>
    <x:row r="61" ht="54" customHeight="1">
      <x:c r="A61" s="6" t="str">
        <x:v>VFS-028</x:v>
      </x:c>
      <x:c r="B61" s="6" t="str">
        <x:v>contradictory_result</x:v>
      </x:c>
      <x:c r="C61" s="6" t="str">
        <x:v>Revision-F deterministic structured behavioral fault injection</x:v>
      </x:c>
      <x:c r="D61" s="6" t="str">
        <x:v>FAULTED; no process-output command; no automatic restart; diagnostic RESULT_CONTRADICTION</x:v>
      </x:c>
      <x:c r="E61" s="6" t="str">
        <x:v>NOT RUN</x:v>
      </x:c>
      <x:c r="F61" s="6" t="str">
        <x:v>11_simulation/outputs/vision_fault_results.csv</x:v>
      </x:c>
      <x:c r="G61" s="6" t="str">
        <x:v>BEHAVIORAL_FAULT_INJECTION_MODEL</x:v>
      </x:c>
    </x:row>
    <x:row r="62" ht="54" customHeight="1">
      <x:c r="A62" s="6" t="str">
        <x:v>EDGE-PIPELINE</x:v>
      </x:c>
      <x:c r="B62" s="6" t="str">
        <x:v>Acquisition/preprocessing authorization boundaries</x:v>
      </x:c>
      <x:c r="C62" s="6" t="str">
        <x:v>Python unit tests</x:v>
      </x:c>
      <x:c r="D62" s="6" t="str">
        <x:v>Recorded input is hash-bound/exactly-once and cannot authorize production READY</x:v>
      </x:c>
      <x:c r="E62" s="6" t="str">
        <x:v>NOT APPLICABLE OR NOT RUN</x:v>
      </x:c>
      <x:c r="F62" s="6" t="str">
        <x:v>07_nvidia_vision/edge_service/tests/test_revision_f_readiness.py</x:v>
      </x:c>
      <x:c r="G62" s="6" t="str">
        <x:v>SOURCE_OR_INTEGRATION_VERIFICATION</x:v>
      </x:c>
    </x:row>
    <x:row r="63" ht="54" customHeight="1">
      <x:c r="A63" s="6" t="str">
        <x:v>EDGE-CONFIG</x:v>
      </x:c>
      <x:c r="B63" s="6" t="str">
        <x:v>Configuration schema and hash publication</x:v>
      </x:c>
      <x:c r="C63" s="6" t="str">
        <x:v>Python unit/static tests</x:v>
      </x:c>
      <x:c r="D63" s="6" t="str">
        <x:v>Unknown keys rejected; runtime/contract/schema SHA-256 values are structured-log fields</x:v>
      </x:c>
      <x:c r="E63" s="6" t="str">
        <x:v>NOT APPLICABLE OR NOT RUN</x:v>
      </x:c>
      <x:c r="F63" s="6" t="str">
        <x:v>07_nvidia_vision/edge_service/tests/test_revision_f_readiness.py; 07_nvidia_vision/edge_service/opcua_adapter.py</x:v>
      </x:c>
      <x:c r="G63" s="6" t="str">
        <x:v>SOURCE_OR_INTEGRATION_VERIFICATION</x:v>
      </x:c>
    </x:row>
    <x:row r="64" ht="54" customHeight="1">
      <x:c r="A64" s="6" t="str">
        <x:v>EDGE-V3</x:v>
      </x:c>
      <x:c r="B64" s="6" t="str">
        <x:v>47-node edge contract</x:v>
      </x:c>
      <x:c r="C64" s="6" t="str">
        <x:v>Python unit and encrypted OPC UA integration tests</x:v>
      </x:c>
      <x:c r="D64" s="6" t="str">
        <x:v>Type/owner/node parity, exact identity, terminal-before-valid ordering and fail-closed behavior</x:v>
      </x:c>
      <x:c r="E64" s="6" t="str">
        <x:v>NOT APPLICABLE OR NOT RUN</x:v>
      </x:c>
      <x:c r="F64" s="6" t="str">
        <x:v>07_nvidia_vision/edge_service/tests</x:v>
      </x:c>
      <x:c r="G64" s="6" t="str">
        <x:v>SOURCE_OR_INTEGRATION_VERIFICATION</x:v>
      </x:c>
    </x:row>
    <x:row r="65" ht="54" customHeight="1">
      <x:c r="A65" s="6" t="str">
        <x:v>SCL-V3</x:v>
      </x:c>
      <x:c r="B65" s="6" t="str">
        <x:v>Revision-F PLC source contract</x:v>
      </x:c>
      <x:c r="C65" s="6" t="str">
        <x:v>Static Siemens source contracts</x:v>
      </x:c>
      <x:c r="D65" s="6" t="str">
        <x:v>Additive interface, PLC ownership and fail-closed guards present; native compile remains blocked</x:v>
      </x:c>
      <x:c r="E65" s="6" t="str">
        <x:v>NOT APPLICABLE OR NOT RUN</x:v>
      </x:c>
      <x:c r="F65" s="6" t="str">
        <x:v>11_simulation/tests/test_revision_d1_siemens_contracts.py</x:v>
      </x:c>
      <x:c r="G65" s="6" t="str">
        <x:v>SOURCE_OR_INTEGRATION_VERIFICATION</x:v>
      </x:c>
    </x:row>
    <x:row r="66" ht="54" customHeight="1">
      <x:c r="A66" s="6" t="str">
        <x:v>EDGE-AUDIT</x:v>
      </x:c>
      <x:c r="B66" s="6" t="str">
        <x:v>Durable audit interlock</x:v>
      </x:c>
      <x:c r="C66" s="6" t="str">
        <x:v>Injected storage-failure unit test</x:v>
      </x:c>
      <x:c r="D66" s="6" t="str">
        <x:v>fsync-backed write is required before publication; failure holds RESULT_VALID low and requires reset</x:v>
      </x:c>
      <x:c r="E66" s="6" t="str">
        <x:v>NOT APPLICABLE OR NOT RUN</x:v>
      </x:c>
      <x:c r="F66" s="6" t="str">
        <x:v>07_nvidia_vision/edge_service/tests/test_service.py</x:v>
      </x:c>
      <x:c r="G66" s="6" t="str">
        <x:v>SOURCE_OR_INTEGRATION_VERIFICATION</x:v>
      </x:c>
    </x:row>
    <x:row r="67" ht="54" customHeight="1">
      <x:c r="A67" s="6" t="str">
        <x:v>DATASET-TOOLS</x:v>
      </x:c>
      <x:c r="B67" s="6" t="str">
        <x:v>Dataset hash/split/leakage controls</x:v>
      </x:c>
      <x:c r="C67" s="6" t="str">
        <x:v>Python unit tests</x:v>
      </x:c>
      <x:c r="D67" s="6" t="str">
        <x:v>Manifest hashes, grouped splits and leakage rejection execute without claiming a dataset</x:v>
      </x:c>
      <x:c r="E67" s="6" t="str">
        <x:v>NOT APPLICABLE OR NOT RUN</x:v>
      </x:c>
      <x:c r="F67" s="6" t="str">
        <x:v>07_nvidia_vision/edge_service/tests/test_revision_f_readiness.py</x:v>
      </x:c>
      <x:c r="G67" s="6" t="str">
        <x:v>SOURCE_OR_INTEGRATION_VERIFICATION</x:v>
      </x:c>
    </x:row>
    <x:row r="68" ht="54" customHeight="1">
      <x:c r="A68" s="6" t="str">
        <x:v>EVAL-TOOLS</x:v>
      </x:c>
      <x:c r="B68" s="6" t="str">
        <x:v>Evaluation tooling</x:v>
      </x:c>
      <x:c r="C68" s="6" t="str">
        <x:v>Python unit tests</x:v>
      </x:c>
      <x:c r="D68" s="6" t="str">
        <x:v>FAR/FRR arithmetic and invalid-score rejection execute on synthetic fixtures only</x:v>
      </x:c>
      <x:c r="E68" s="6" t="str">
        <x:v>NOT APPLICABLE OR NOT RUN</x:v>
      </x:c>
      <x:c r="F68" s="6" t="str">
        <x:v>07_nvidia_vision/edge_service/tests/test_revision_f_readiness.py</x:v>
      </x:c>
      <x:c r="G68" s="6" t="str">
        <x:v>SOURCE_OR_INTEGRATION_VERIFICATION</x:v>
      </x:c>
    </x:row>
    <x:row r="69" ht="54" customHeight="1">
      <x:c r="A69" s="6" t="str">
        <x:v>DOC-LINK</x:v>
      </x:c>
      <x:c r="B69" s="6" t="str">
        <x:v>Controlled engineering method</x:v>
      </x:c>
      <x:c r="C69" s="6" t="str">
        <x:v>Document/traceability review</x:v>
      </x:c>
      <x:c r="D69" s="6" t="str">
        <x:v>Method and blocker are linked; procedure execution remains external</x:v>
      </x:c>
      <x:c r="E69" s="6" t="str">
        <x:v>NOT APPLICABLE OR NOT RUN</x:v>
      </x:c>
      <x:c r="F69" s="6" t="str">
        <x:v>00_project_control/document_register.csv</x:v>
      </x:c>
      <x:c r="G69" s="6" t="str">
        <x:v>SOURCE_OR_INTEGRATION_VERIFICATION</x:v>
      </x:c>
    </x:row>
    <x:row r="70" ht="54" customHeight="1">
      <x:c r="A70" s="6" t="str">
        <x:v>OPCUA-INTEGRATION</x:v>
      </x:c>
      <x:c r="B70" s="6" t="str">
        <x:v>Certificate-backed OPC UA integration</x:v>
      </x:c>
      <x:c r="C70" s="6" t="str">
        <x:v>Local asyncua server/client integration tests</x:v>
      </x:c>
      <x:c r="D70" s="6" t="str">
        <x:v>Basic256Sha256 SignAndEncrypt and named X.509 user path pass locally</x:v>
      </x:c>
      <x:c r="E70" s="6" t="str">
        <x:v>NOT APPLICABLE OR NOT RUN</x:v>
      </x:c>
      <x:c r="F70" s="6" t="str">
        <x:v>07_nvidia_vision/edge_service/tests/test_opcua_adapter.py</x:v>
      </x:c>
      <x:c r="G70" s="6" t="str">
        <x:v>SOURCE_OR_INTEGRATION_VERIFICATION</x:v>
      </x:c>
    </x:row>
    <x:row r="71" ht="54" customHeight="1">
      <x:c r="A71" s="6" t="str">
        <x:v>HMI-V3</x:v>
      </x:c>
      <x:c r="B71" s="6" t="str">
        <x:v>HMI contract coverage</x:v>
      </x:c>
      <x:c r="C71" s="6" t="str">
        <x:v>Static source-parity verification</x:v>
      </x:c>
      <x:c r="D71" s="6" t="str">
        <x:v>All 47 transport bindings have a read-only HMI diagnostic source; native WinCC compile remains blocked</x:v>
      </x:c>
      <x:c r="E71" s="6" t="str">
        <x:v>NOT APPLICABLE OR NOT RUN</x:v>
      </x:c>
      <x:c r="F71" s="6" t="str">
        <x:v>05_hmi/vision_tags_revision_f.csv</x:v>
      </x:c>
      <x:c r="G71" s="6" t="str">
        <x:v>SOURCE_OR_INTEGRATION_VERIFICATION</x:v>
      </x:c>
    </x:row>
    <x:row r="72" ht="54" customHeight="1">
      <x:c r="A72" s="6" t="str">
        <x:v>NED-CHECK</x:v>
      </x:c>
      <x:c r="B72" s="6" t="str">
        <x:v>NVIDIA electrical delta</x:v>
      </x:c>
      <x:c r="C72" s="6" t="str">
        <x:v>CSV/document consistency verification</x:v>
      </x:c>
      <x:c r="D72" s="6" t="str">
        <x:v>Ten provisional records, unique cables, 100 W allowance and standalone-delta boundary reconcile</x:v>
      </x:c>
      <x:c r="E72" s="6" t="str">
        <x:v>NOT APPLICABLE OR NOT RUN</x:v>
      </x:c>
      <x:c r="F72" s="6" t="str">
        <x:v>10_schedules/nvidia_electrical_delta.csv</x:v>
      </x:c>
      <x:c r="G72" s="6" t="str">
        <x:v>SOURCE_OR_INTEGRATION_VERIFICATION</x:v>
      </x:c>
    </x:row>
    <x:row r="73" ht="54" customHeight="1">
      <x:c r="A73" s="6" t="str">
        <x:v>ARCH-OWNER</x:v>
      </x:c>
      <x:c r="B73" s="6" t="str">
        <x:v>PLC/edge ownership boundary</x:v>
      </x:c>
      <x:c r="C73" s="6" t="str">
        <x:v>Architecture/source review</x:v>
      </x:c>
      <x:c r="D73" s="6" t="str">
        <x:v>PLC retains sequence, filling measurement, disposition and hazardous-output authority</x:v>
      </x:c>
      <x:c r="E73" s="6" t="str">
        <x:v>NOT APPLICABLE OR NOT RUN</x:v>
      </x:c>
      <x:c r="F73" s="6" t="str">
        <x:v>02_system_architecture/revision_f_vision_integration_architecture.md</x:v>
      </x:c>
      <x:c r="G73" s="6" t="str">
        <x:v>SOURCE_OR_INTEGRATION_VERIFICATION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22.5" hidden="0" customWidth="1"/>
    <x:col min="6" max="6" width="19.3799991607666" hidden="0" customWidth="1"/>
    <x:col min="7" max="7" width="33.75" hidden="0" customWidth="1"/>
  </x:cols>
  <x:sheetData>
    <x:row r="1" ht="31.5" customHeight="1">
      <x:c r="A1" s="12" t="str">
        <x:v>request_id</x:v>
      </x:c>
      <x:c r="B1" s="12" t="str">
        <x:v>required_input</x:v>
      </x:c>
      <x:c r="C1" s="12" t="str">
        <x:v>owner</x:v>
      </x:c>
      <x:c r="D1" s="12" t="str">
        <x:v>blocks</x:v>
      </x:c>
      <x:c r="E1" s="12" t="str">
        <x:v>status</x:v>
      </x:c>
      <x:c r="F1" s="12" t="str">
        <x:v>date_requested</x:v>
      </x:c>
      <x:c r="G1" s="12" t="str">
        <x:v>evidence_required</x:v>
      </x:c>
    </x:row>
    <x:row r="2" ht="54" customHeight="1">
      <x:c r="A2" s="6" t="str">
        <x:v>IR-001</x:v>
      </x:c>
      <x:c r="B2" s="6" t="str">
        <x:v>Country/market and applicable regulatory basis</x:v>
      </x:c>
      <x:c r="C2" s="6" t="str">
        <x:v>Owner / legal authority</x:v>
      </x:c>
      <x:c r="D2" s="6" t="str">
        <x:v>Electrical, documentation, conformity</x:v>
      </x:c>
      <x:c r="E2" s="6" t="str">
        <x:v>OPEN</x:v>
      </x:c>
      <x:c r="F2" s="6" t="str">
        <x:v>2026-08-02</x:v>
      </x:c>
      <x:c r="G2" s="6" t="str">
        <x:v>Approved source document or native evidence</x:v>
      </x:c>
    </x:row>
    <x:row r="3" ht="54" customHeight="1">
      <x:c r="A3" s="6" t="str">
        <x:v>IR-002</x:v>
      </x:c>
      <x:c r="B3" s="6" t="str">
        <x:v>Site supply voltage/frequency, earthing system and available fault current</x:v>
      </x:c>
      <x:c r="C3" s="6" t="str">
        <x:v>Site electrical engineer</x:v>
      </x:c>
      <x:c r="D3" s="6" t="str">
        <x:v>Protection, SCCR, PE, conductor sizing</x:v>
      </x:c>
      <x:c r="E3" s="6" t="str">
        <x:v>OPEN</x:v>
      </x:c>
      <x:c r="F3" s="6" t="str">
        <x:v>2026-08-02</x:v>
      </x:c>
      <x:c r="G3" s="6" t="str">
        <x:v>Approved source document or native evidence</x:v>
      </x:c>
    </x:row>
    <x:row r="4" ht="54" customHeight="1">
      <x:c r="A4" s="6" t="str">
        <x:v>IR-003</x:v>
      </x:c>
      <x:c r="B4" s="6" t="str">
        <x:v>Ambient temperature, altitude, contamination and required enclosure IP</x:v>
      </x:c>
      <x:c r="C4" s="6" t="str">
        <x:v>Site engineering</x:v>
      </x:c>
      <x:c r="D4" s="6" t="str">
        <x:v>Panel thermal/enclosure</x:v>
      </x:c>
      <x:c r="E4" s="6" t="str">
        <x:v>OPEN</x:v>
      </x:c>
      <x:c r="F4" s="6" t="str">
        <x:v>2026-08-02</x:v>
      </x:c>
      <x:c r="G4" s="6" t="str">
        <x:v>Approved source document or native evidence</x:v>
      </x:c>
    </x:row>
    <x:row r="5" ht="54" customHeight="1">
      <x:c r="A5" s="6" t="str">
        <x:v>IR-004</x:v>
      </x:c>
      <x:c r="B5" s="6" t="str">
        <x:v>Conveyor motor nameplate, duty, speed/torque and cable length</x:v>
      </x:c>
      <x:c r="C5" s="6" t="str">
        <x:v>Mechanical/vendor</x:v>
      </x:c>
      <x:c r="D5" s="6" t="str">
        <x:v>Drive sizing and protection</x:v>
      </x:c>
      <x:c r="E5" s="6" t="str">
        <x:v>OPEN</x:v>
      </x:c>
      <x:c r="F5" s="6" t="str">
        <x:v>2026-08-02</x:v>
      </x:c>
      <x:c r="G5" s="6" t="str">
        <x:v>Approved source document or native evidence</x:v>
      </x:c>
    </x:row>
    <x:row r="6" ht="54" customHeight="1">
      <x:c r="A6" s="6" t="str">
        <x:v>IR-005</x:v>
      </x:c>
      <x:c r="B6" s="6" t="str">
        <x:v>Pump curve, motor nameplate, duty, dead-head behavior and cable length</x:v>
      </x:c>
      <x:c r="C6" s="6" t="str">
        <x:v>Process/vendor</x:v>
      </x:c>
      <x:c r="D6" s="6" t="str">
        <x:v>Drive, process and overpressure design</x:v>
      </x:c>
      <x:c r="E6" s="6" t="str">
        <x:v>OPEN</x:v>
      </x:c>
      <x:c r="F6" s="6" t="str">
        <x:v>2026-08-02</x:v>
      </x:c>
      <x:c r="G6" s="6" t="str">
        <x:v>Approved source document or native evidence</x:v>
      </x:c>
    </x:row>
    <x:row r="7" ht="54" customHeight="1">
      <x:c r="A7" s="6" t="str">
        <x:v>IR-006</x:v>
      </x:c>
      <x:c r="B7" s="6" t="str">
        <x:v>Valve coil voltage/current, response time and fail state</x:v>
      </x:c>
      <x:c r="C7" s="6" t="str">
        <x:v>Valve vendor</x:v>
      </x:c>
      <x:c r="D7" s="6" t="str">
        <x:v>Output/relay sizing and timeout values</x:v>
      </x:c>
      <x:c r="E7" s="6" t="str">
        <x:v>OPEN</x:v>
      </x:c>
      <x:c r="F7" s="6" t="str">
        <x:v>2026-08-02</x:v>
      </x:c>
      <x:c r="G7" s="6" t="str">
        <x:v>Approved source document or native evidence</x:v>
      </x:c>
    </x:row>
    <x:row r="8" ht="54" customHeight="1">
      <x:c r="A8" s="6" t="str">
        <x:v>IR-007</x:v>
      </x:c>
      <x:c r="B8" s="6" t="str">
        <x:v>Sensor types, connectors and electrical characteristics</x:v>
      </x:c>
      <x:c r="C8" s="6" t="str">
        <x:v>Machine designer</x:v>
      </x:c>
      <x:c r="D8" s="6" t="str">
        <x:v>Point-to-point wiring</x:v>
      </x:c>
      <x:c r="E8" s="6" t="str">
        <x:v>OPEN</x:v>
      </x:c>
      <x:c r="F8" s="6" t="str">
        <x:v>2026-08-02</x:v>
      </x:c>
      <x:c r="G8" s="6" t="str">
        <x:v>Approved source document or native evidence</x:v>
      </x:c>
    </x:row>
    <x:row r="9" ht="54" customHeight="1">
      <x:c r="A9" s="6" t="str">
        <x:v>IR-008</x:v>
      </x:c>
      <x:c r="B9" s="6" t="str">
        <x:v>Flowmeter model, K-factor, maximum pulse frequency and 4-20 mA diagnostics</x:v>
      </x:c>
      <x:c r="C9" s="6" t="str">
        <x:v>Instrument vendor</x:v>
      </x:c>
      <x:c r="D9" s="6" t="str">
        <x:v>TM Count, scaling and diagnostics</x:v>
      </x:c>
      <x:c r="E9" s="6" t="str">
        <x:v>OPEN</x:v>
      </x:c>
      <x:c r="F9" s="6" t="str">
        <x:v>2026-08-02</x:v>
      </x:c>
      <x:c r="G9" s="6" t="str">
        <x:v>Approved source document or native evidence</x:v>
      </x:c>
    </x:row>
    <x:row r="10" ht="54" customHeight="1">
      <x:c r="A10" s="6" t="str">
        <x:v>IR-009</x:v>
      </x:c>
      <x:c r="B10" s="6" t="str">
        <x:v>Bottle drawings/materials, recipes, fill targets and tolerances</x:v>
      </x:c>
      <x:c r="C10" s="6" t="str">
        <x:v>Process owner</x:v>
      </x:c>
      <x:c r="D10" s="6" t="str">
        <x:v>Sequence, recipe and optics</x:v>
      </x:c>
      <x:c r="E10" s="6" t="str">
        <x:v>OPEN</x:v>
      </x:c>
      <x:c r="F10" s="6" t="str">
        <x:v>2026-08-02</x:v>
      </x:c>
      <x:c r="G10" s="6" t="str">
        <x:v>Approved source document or native evidence</x:v>
      </x:c>
    </x:row>
    <x:row r="11" ht="54" customHeight="1">
      <x:c r="A11" s="6" t="str">
        <x:v>IR-010</x:v>
      </x:c>
      <x:c r="B11" s="6" t="str">
        <x:v>Required throughput and cycle-time allocation</x:v>
      </x:c>
      <x:c r="C11" s="6" t="str">
        <x:v>Production owner</x:v>
      </x:c>
      <x:c r="D11" s="6" t="str">
        <x:v>Performance sizing</x:v>
      </x:c>
      <x:c r="E11" s="6" t="str">
        <x:v>OPEN</x:v>
      </x:c>
      <x:c r="F11" s="6" t="str">
        <x:v>2026-08-02</x:v>
      </x:c>
      <x:c r="G11" s="6" t="str">
        <x:v>Approved source document or native evidence</x:v>
      </x:c>
    </x:row>
    <x:row r="12" ht="54" customHeight="1">
      <x:c r="A12" s="6" t="str">
        <x:v>IR-011</x:v>
      </x:c>
      <x:c r="B12" s="6" t="str">
        <x:v>Capper electrical protocol and timing specification</x:v>
      </x:c>
      <x:c r="C12" s="6" t="str">
        <x:v>Capper vendor</x:v>
      </x:c>
      <x:c r="D12" s="6" t="str">
        <x:v>Handshake and terminals</x:v>
      </x:c>
      <x:c r="E12" s="6" t="str">
        <x:v>OPEN</x:v>
      </x:c>
      <x:c r="F12" s="6" t="str">
        <x:v>2026-08-02</x:v>
      </x:c>
      <x:c r="G12" s="6" t="str">
        <x:v>Approved source document or native evidence</x:v>
      </x:c>
    </x:row>
    <x:row r="13" ht="54" customHeight="1">
      <x:c r="A13" s="6" t="str">
        <x:v>IR-012</x:v>
      </x:c>
      <x:c r="B13" s="6" t="str">
        <x:v>Camera working envelope, line constraints and optical trial samples</x:v>
      </x:c>
      <x:c r="C13" s="6" t="str">
        <x:v>Machine/process owner</x:v>
      </x:c>
      <x:c r="D13" s="6" t="str">
        <x:v>Camera/lens/light selection</x:v>
      </x:c>
      <x:c r="E13" s="6" t="str">
        <x:v>OPEN</x:v>
      </x:c>
      <x:c r="F13" s="6" t="str">
        <x:v>2026-08-02</x:v>
      </x:c>
      <x:c r="G13" s="6" t="str">
        <x:v>Approved source document or native evidence</x:v>
      </x:c>
    </x:row>
    <x:row r="14" ht="54" customHeight="1">
      <x:c r="A14" s="6" t="str">
        <x:v>IR-013</x:v>
      </x:c>
      <x:c r="B14" s="6" t="str">
        <x:v>Representative labeled real dataset with lot/SKU/session provenance</x:v>
      </x:c>
      <x:c r="C14" s="6" t="str">
        <x:v>Quality owner</x:v>
      </x:c>
      <x:c r="D14" s="6" t="str">
        <x:v>AI training/evaluation</x:v>
      </x:c>
      <x:c r="E14" s="6" t="str">
        <x:v>OPEN</x:v>
      </x:c>
      <x:c r="F14" s="6" t="str">
        <x:v>2026-08-02</x:v>
      </x:c>
      <x:c r="G14" s="6" t="str">
        <x:v>Approved source document or native evidence</x:v>
      </x:c>
    </x:row>
    <x:row r="15" ht="54" customHeight="1">
      <x:c r="A15" s="6" t="str">
        <x:v>IR-014</x:v>
      </x:c>
      <x:c r="B15" s="6" t="str">
        <x:v>Approved Jetson module/carrier and lifecycle policy</x:v>
      </x:c>
      <x:c r="C15" s="6" t="str">
        <x:v>IT/OT owner</x:v>
      </x:c>
      <x:c r="D15" s="6" t="str">
        <x:v>Edge hardware, power and thermal</x:v>
      </x:c>
      <x:c r="E15" s="6" t="str">
        <x:v>OPEN</x:v>
      </x:c>
      <x:c r="F15" s="6" t="str">
        <x:v>2026-08-02</x:v>
      </x:c>
      <x:c r="G15" s="6" t="str">
        <x:v>Approved source document or native evidence</x:v>
      </x:c>
    </x:row>
    <x:row r="16" ht="54" customHeight="1">
      <x:c r="A16" s="6" t="str">
        <x:v>IR-015</x:v>
      </x:c>
      <x:c r="B16" s="6" t="str">
        <x:v>Site network, certificate, identity and cybersecurity policy</x:v>
      </x:c>
      <x:c r="C16" s="6" t="str">
        <x:v>OT security</x:v>
      </x:c>
      <x:c r="D16" s="6" t="str">
        <x:v>Firewall and OPC UA deployment</x:v>
      </x:c>
      <x:c r="E16" s="6" t="str">
        <x:v>OPEN</x:v>
      </x:c>
      <x:c r="F16" s="6" t="str">
        <x:v>2026-08-02</x:v>
      </x:c>
      <x:c r="G16" s="6" t="str">
        <x:v>Approved source document or native evidence</x:v>
      </x:c>
    </x:row>
    <x:row r="17" ht="54" customHeight="1">
      <x:c r="A17" s="6" t="str">
        <x:v>IR-016</x:v>
      </x:c>
      <x:c r="B17" s="6" t="str">
        <x:v>Usable licensed TIA Portal V20 / WinCC Unified access</x:v>
      </x:c>
      <x:c r="C17" s="6" t="str">
        <x:v>Controls owner</x:v>
      </x:c>
      <x:c r="D17" s="6" t="str">
        <x:v>Native PLC/HMI project and compile</x:v>
      </x:c>
      <x:c r="E17" s="6" t="str">
        <x:v>OPEN</x:v>
      </x:c>
      <x:c r="F17" s="6" t="str">
        <x:v>2026-08-02</x:v>
      </x:c>
      <x:c r="G17" s="6" t="str">
        <x:v>Approved source document or native evidence</x:v>
      </x:c>
    </x:row>
    <x:row r="18" ht="54" customHeight="1">
      <x:c r="A18" s="6" t="str">
        <x:v>IR-017</x:v>
      </x:c>
      <x:c r="B18" s="6" t="str">
        <x:v>Startdrive installation and licensed access</x:v>
      </x:c>
      <x:c r="C18" s="6" t="str">
        <x:v>Controls owner</x:v>
      </x:c>
      <x:c r="D18" s="6" t="str">
        <x:v>Drive native configuration</x:v>
      </x:c>
      <x:c r="E18" s="6" t="str">
        <x:v>OPEN</x:v>
      </x:c>
      <x:c r="F18" s="6" t="str">
        <x:v>2026-08-02</x:v>
      </x:c>
      <x:c r="G18" s="6" t="str">
        <x:v>Approved source document or native evidence</x:v>
      </x:c>
    </x:row>
    <x:row r="19" ht="54" customHeight="1">
      <x:c r="A19" s="6" t="str">
        <x:v>IR-018</x:v>
      </x:c>
      <x:c r="B19" s="6" t="str">
        <x:v>PLCSIM or PLCSIM Advanced installation</x:v>
      </x:c>
      <x:c r="C19" s="6" t="str">
        <x:v>Controls owner</x:v>
      </x:c>
      <x:c r="D19" s="6" t="str">
        <x:v>Native software-in-loop traces</x:v>
      </x:c>
      <x:c r="E19" s="6" t="str">
        <x:v>OPEN</x:v>
      </x:c>
      <x:c r="F19" s="6" t="str">
        <x:v>2026-08-02</x:v>
      </x:c>
      <x:c r="G19" s="6" t="str">
        <x:v>Approved source document or native evidence</x:v>
      </x:c>
    </x:row>
    <x:row r="20" ht="54" customHeight="1">
      <x:c r="A20" s="6" t="str">
        <x:v>IR-019</x:v>
      </x:c>
      <x:c r="B20" s="6" t="str">
        <x:v>Qualified panel-CAD reviewer, final vendor envelopes/clearances and construction confirmation</x:v>
      </x:c>
      <x:c r="C20" s="6" t="str">
        <x:v>Electrical owner</x:v>
      </x:c>
      <x:c r="D20" s="6" t="str">
        <x:v>Construction release of Revision-E native panel CAD</x:v>
      </x:c>
      <x:c r="E20" s="6" t="str">
        <x:v>PARTIAL</x:v>
      </x:c>
      <x:c r="F20" s="6" t="str">
        <x:v>2026-08-02</x:v>
      </x:c>
      <x:c r="G20" s="6" t="str">
        <x:v>Qualified-human review plus approved vendor/site construction data</x:v>
      </x:c>
    </x:row>
    <x:row r="21" ht="54" customHeight="1">
      <x:c r="A21" s="6" t="str">
        <x:v>IR-020</x:v>
      </x:c>
      <x:c r="B21" s="6" t="str">
        <x:v>Qualified machinery-safety engineer risk assessment and validation plan</x:v>
      </x:c>
      <x:c r="C21" s="6" t="str">
        <x:v>Project authority</x:v>
      </x:c>
      <x:c r="D21" s="6" t="str">
        <x:v>External safety architecture</x:v>
      </x:c>
      <x:c r="E21" s="6" t="str">
        <x:v>OPEN</x:v>
      </x:c>
      <x:c r="F21" s="6" t="str">
        <x:v>2026-08-02</x:v>
      </x:c>
      <x:c r="G21" s="6" t="str">
        <x:v>Approved source document or native evidence</x:v>
      </x:c>
    </x:row>
    <x:row r="22" ht="54" customHeight="1">
      <x:c r="A22" s="6" t="str">
        <x:v>IR-021</x:v>
      </x:c>
      <x:c r="B22" s="6" t="str">
        <x:v>Native reopen/export/all-page review of corrected QET and qualified electrical schematic reviewer</x:v>
      </x:c>
      <x:c r="C22" s="6" t="str">
        <x:v>Electrical owner</x:v>
      </x:c>
      <x:c r="D22" s="6" t="str">
        <x:v>Native schematic gate and construction review</x:v>
      </x:c>
      <x:c r="E22" s="6" t="str">
        <x:v>PARTIAL</x:v>
      </x:c>
      <x:c r="F22" s="6" t="str">
        <x:v>2026-08-02</x:v>
      </x:c>
      <x:c r="G22" s="6" t="str">
        <x:v>Exact corrected-hash QET reopen, PDF export, cross-reference report and qualified-human review</x:v>
      </x:c>
    </x:row>
    <x:row r="23" ht="54" customHeight="1">
      <x:c r="A23" s="6" t="str">
        <x:v>IR-022</x:v>
      </x:c>
      <x:c r="B23" s="6" t="str">
        <x:v>Field cable route lengths, installation method, grouping, ambient and approved cable families</x:v>
      </x:c>
      <x:c r="C23" s="6" t="str">
        <x:v>Site electrical engineer</x:v>
      </x:c>
      <x:c r="D23" s="6" t="str">
        <x:v>Conductor loading, voltage drop, fill and cable release</x:v>
      </x:c>
      <x:c r="E23" s="6" t="str">
        <x:v>OPEN</x:v>
      </x:c>
      <x:c r="F23" s="6" t="str">
        <x:v>2026-08-02</x:v>
      </x:c>
      <x:c r="G23" s="6" t="str">
        <x:v>Approved source document or native evidence</x:v>
      </x:c>
    </x:row>
    <x:row r="24" ht="54" customHeight="1">
      <x:c r="A24" s="6" t="str">
        <x:v>IR-023</x:v>
      </x:c>
      <x:c r="B24" s="6" t="str">
        <x:v>Maximum line speed, bottle/carrier geometry and available camera working envelope</x:v>
      </x:c>
      <x:c r="C24" s="6" t="str">
        <x:v>Machine/process owner</x:v>
      </x:c>
      <x:c r="D24" s="6" t="str">
        <x:v>Final camera count, FOV, pixels/mm and motion-blur design</x:v>
      </x:c>
      <x:c r="E24" s="6" t="str">
        <x:v>OPEN</x:v>
      </x:c>
      <x:c r="F24" s="6" t="str">
        <x:v>2026-08-03</x:v>
      </x:c>
      <x:c r="G24" s="6" t="str">
        <x:v>Approved drawings, timing study and representative product samples</x:v>
      </x:c>
    </x:row>
    <x:row r="25" ht="54" customHeight="1">
      <x:c r="A25" s="6" t="str">
        <x:v>IR-024</x:v>
      </x:c>
      <x:c r="B25" s="6" t="str">
        <x:v>Representative labeled multi-lot bottle/liquid/foam/glare/spill dataset</x:v>
      </x:c>
      <x:c r="C25" s="6" t="str">
        <x:v>Quality/process owner</x:v>
      </x:c>
      <x:c r="D25" s="6" t="str">
        <x:v>Model training, threshold selection and performance claims</x:v>
      </x:c>
      <x:c r="E25" s="6" t="str">
        <x:v>OPEN</x:v>
      </x:c>
      <x:c r="F25" s="6" t="str">
        <x:v>2026-08-03</x:v>
      </x:c>
      <x:c r="G25" s="6" t="str">
        <x:v>Controlled dataset manifest, labels, lot/session metadata and approval</x:v>
      </x:c>
    </x:row>
    <x:row r="26" ht="54" customHeight="1">
      <x:c r="A26" s="6" t="str">
        <x:v>IR-025</x:v>
      </x:c>
      <x:c r="B26" s="6" t="str">
        <x:v>Selected industrial Jetson carrier, camera, lens, lighting, enclosure and target software image</x:v>
      </x:c>
      <x:c r="C26" s="6" t="str">
        <x:v>Vision/electrical owner</x:v>
      </x:c>
      <x:c r="D26" s="6" t="str">
        <x:v>Procurement, thermal/electrical finalization and target runtime validation</x:v>
      </x:c>
      <x:c r="E26" s="6" t="str">
        <x:v>OPEN</x:v>
      </x:c>
      <x:c r="F26" s="6" t="str">
        <x:v>2026-08-03</x:v>
      </x:c>
      <x:c r="G26" s="6" t="str">
        <x:v>Approved vendor data, lifecycle, compatibility and environmental records</x:v>
      </x:c>
    </x:row>
    <x:row r="27" ht="54" customHeight="1">
      <x:c r="A27" s="6" t="str">
        <x:v>IR-026</x:v>
      </x:c>
      <x:c r="B27" s="6" t="str">
        <x:v>Site PKI, authenticated time, log retention, privacy and vulnerability-response policy</x:v>
      </x:c>
      <x:c r="C27" s="6" t="str">
        <x:v>OT cybersecurity owner</x:v>
      </x:c>
      <x:c r="D27" s="6" t="str">
        <x:v>Production OPC UA trust and audit deployment</x:v>
      </x:c>
      <x:c r="E27" s="6" t="str">
        <x:v>OPEN</x:v>
      </x:c>
      <x:c r="F27" s="6" t="str">
        <x:v>2026-08-03</x:v>
      </x:c>
      <x:c r="G27" s="6" t="str">
        <x:v>Approved certificates, rules, retention and incident workflow</x:v>
      </x:c>
    </x:row>
    <x:row r="28" ht="54" customHeight="1">
      <x:c r="A28" s="6" t="str">
        <x:v>IR-027</x:v>
      </x:c>
      <x:c r="B28" s="6" t="str">
        <x:v>Confirmed edge/camera/light loads, inrush, routes, ambient and protection coordination</x:v>
      </x:c>
      <x:c r="C28" s="6" t="str">
        <x:v>Electrical/site engineer</x:v>
      </x:c>
      <x:c r="D28" s="6" t="str">
        <x:v>Final vision branch protection, cables, voltage drop and thermal release</x:v>
      </x:c>
      <x:c r="E28" s="6" t="str">
        <x:v>OPEN</x:v>
      </x:c>
      <x:c r="F28" s="6" t="str">
        <x:v>2026-08-03</x:v>
      </x:c>
      <x:c r="G28" s="6" t="str">
        <x:v>Manufacturer data, site conditions and approved calculations</x:v>
      </x:c>
    </x:row>
    <x:row r="29" ht="54" customHeight="1">
      <x:c r="A29" s="6" t="str">
        <x:v>IR-028</x:v>
      </x:c>
      <x:c r="B29" s="6" t="str">
        <x:v>Quality cost/risk basis and approved false-accept/false-reject acceptance limits</x:v>
      </x:c>
      <x:c r="C29" s="6" t="str">
        <x:v>Quality/process owner</x:v>
      </x:c>
      <x:c r="D29" s="6" t="str">
        <x:v>Threshold selection and model promotion</x:v>
      </x:c>
      <x:c r="E29" s="6" t="str">
        <x:v>OPEN</x:v>
      </x:c>
      <x:c r="F29" s="6" t="str">
        <x:v>2026-08-03</x:v>
      </x:c>
      <x:c r="G29" s="6" t="str">
        <x:v>Approved acceptance protocol and product-disposition economics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22.5" hidden="0" customWidth="1"/>
    <x:col min="4" max="4" width="33.75" hidden="0" customWidth="1"/>
  </x:cols>
  <x:sheetData>
    <x:row r="1" ht="31.5" customHeight="1">
      <x:c r="A1" s="12" t="str">
        <x:v>gate</x:v>
      </x:c>
      <x:c r="B1" s="12" t="str">
        <x:v>acceptance_gate</x:v>
      </x:c>
      <x:c r="C1" s="12" t="str">
        <x:v>status</x:v>
      </x:c>
      <x:c r="D1" s="12" t="str">
        <x:v>evidence_or_blocker</x:v>
      </x:c>
    </x:row>
    <x:row r="2" ht="54" customHeight="1">
      <x:c r="A2" s="6" t="str">
        <x:v>1</x:v>
      </x:c>
      <x:c r="B2" s="6" t="str">
        <x:v>Requirements/interfaces traceable</x:v>
      </x:c>
      <x:c r="C2" s="6" t="str">
        <x:v>PARTIAL</x:v>
      </x:c>
      <x:c r="D2" s="6" t="str">
        <x:v>Revision-F requirements and evidence are traceable; identified owner approval remains absent</x:v>
      </x:c>
    </x:row>
    <x:row r="3" ht="54" customHeight="1">
      <x:c r="A3" s="6" t="str">
        <x:v>2</x:v>
      </x:c>
      <x:c r="B3" s="6" t="str">
        <x:v>Canonical model reconciles schedules</x:v>
      </x:c>
      <x:c r="C3" s="6" t="str">
        <x:v>PARTIAL</x:v>
      </x:c>
      <x:c r="D3" s="6" t="str">
        <x:v>Core canonical/interface schedules reconcile; the standalone Revision-F NVIDIA electrical delta is internally consistent but is not yet incorporated into canonical BOM/terminal/cable/P2P/QET/CAD authorities</x:v>
      </x:c>
    </x:row>
    <x:row r="4" ht="54" customHeight="1">
      <x:c r="A4" s="6" t="str">
        <x:v>3</x:v>
      </x:c>
      <x:c r="B4" s="6" t="str">
        <x:v>Siemens hardware baseline confirmed</x:v>
      </x:c>
      <x:c r="C4" s="6" t="str">
        <x:v>PARTIAL</x:v>
      </x:c>
      <x:c r="D4" s="6" t="str">
        <x:v>V20/FW4.0 source baseline and selected envelopes documented; authorized native catalog confirmation and delivered-state evidence remain open</x:v>
      </x:c>
    </x:row>
    <x:row r="5" ht="54" customHeight="1">
      <x:c r="A5" s="6" t="str">
        <x:v>4</x:v>
      </x:c>
      <x:c r="B5" s="6" t="str">
        <x:v>Native TIA project opens</x:v>
      </x:c>
      <x:c r="C5" s="6" t="str">
        <x:v>BLOCKED</x:v>
      </x:c>
      <x:c r="D5" s="6" t="str">
        <x:v>No genuine AP20 project; active identity is not TIA Engineer/Openness-authorized and V20 entitlement is unproven</x:v>
      </x:c>
    </x:row>
    <x:row r="6" ht="54" customHeight="1">
      <x:c r="A6" s="6" t="str">
        <x:v>5</x:v>
      </x:c>
      <x:c r="B6" s="6" t="str">
        <x:v>Native TIA archive restores</x:v>
      </x:c>
      <x:c r="C6" s="6" t="str">
        <x:v>BLOCKED</x:v>
      </x:c>
      <x:c r="D6" s="6" t="str">
        <x:v>No genuine ZAP20 archive exists; native authorized project creation/restoration was not available</x:v>
      </x:c>
    </x:row>
    <x:row r="7" ht="54" customHeight="1">
      <x:c r="A7" s="6" t="str">
        <x:v>6</x:v>
      </x:c>
      <x:c r="B7" s="6" t="str">
        <x:v>PLC compiles zero errors</x:v>
      </x:c>
      <x:c r="C7" s="6" t="str">
        <x:v>BLOCKED</x:v>
      </x:c>
      <x:c r="D7" s="6" t="str">
        <x:v>Expanded import-ready SCL/source contracts pass locally; native TIA V20 compile was not run</x:v>
      </x:c>
    </x:row>
    <x:row r="8" ht="54" customHeight="1">
      <x:c r="A8" s="6" t="str">
        <x:v>7</x:v>
      </x:c>
      <x:c r="B8" s="6" t="str">
        <x:v>HMI compiles zero errors</x:v>
      </x:c>
      <x:c r="C8" s="6" t="str">
        <x:v>BLOCKED</x:v>
      </x:c>
      <x:c r="D8" s="6" t="str">
        <x:v>Expanded HMI definitions are source-controlled; native WinCC Unified compile/usability review was not run</x:v>
      </x:c>
    </x:row>
    <x:row r="9" ht="54" customHeight="1">
      <x:c r="A9" s="6" t="str">
        <x:v>8</x:v>
      </x:c>
      <x:c r="B9" s="6" t="str">
        <x:v>Startdrive configured/reviewed</x:v>
      </x:c>
      <x:c r="C9" s="6" t="str">
        <x:v>BLOCKED</x:v>
      </x:c>
      <x:c r="D9" s="6" t="str">
        <x:v>Startdrive is not installed; motor, pump and site inputs are also missing</x:v>
      </x:c>
    </x:row>
    <x:row r="10" ht="54" customHeight="1">
      <x:c r="A10" s="6" t="str">
        <x:v>9</x:v>
      </x:c>
      <x:c r="B10" s="6" t="str">
        <x:v>PLCSIM traces pass</x:v>
      </x:c>
      <x:c r="C10" s="6" t="str">
        <x:v>BLOCKED</x:v>
      </x:c>
      <x:c r="D10" s="6" t="str">
        <x:v>PLCSIM/PLCSIM Advanced are not installed; deterministic Python evidence is explicitly independent</x:v>
      </x:c>
    </x:row>
    <x:row r="11" ht="54" customHeight="1">
      <x:c r="A11" s="6" t="str">
        <x:v>10</x:v>
      </x:c>
      <x:c r="B11" s="6" t="str">
        <x:v>Revision-E QET reopens and reconciles</x:v>
      </x:c>
      <x:c r="C11" s="6" t="str">
        <x:v>PARTIAL</x:v>
      </x:c>
      <x:c r="D11" s="6" t="str">
        <x:v>Exact controlled Revision-E QET hash reopened natively with 26/26 folios; automatic cross-reference resolution remains unsupported</x:v>
      </x:c>
    </x:row>
    <x:row r="12" ht="54" customHeight="1">
      <x:c r="A12" s="6" t="str">
        <x:v>11</x:v>
      </x:c>
      <x:c r="B12" s="6" t="str">
        <x:v>Schematics export and all-page visual review</x:v>
      </x:c>
      <x:c r="C12" s="6" t="str">
        <x:v>PARTIAL</x:v>
      </x:c>
      <x:c r="D12" s="6" t="str">
        <x:v>Native 26-page PDF export completed; all pages were reviewed, with one clipped in-body statement on folio 25 and dense text noted</x:v>
      </x:c>
    </x:row>
    <x:row r="13" ht="54" customHeight="1">
      <x:c r="A13" s="6" t="str">
        <x:v>12</x:v>
      </x:c>
      <x:c r="B13" s="6" t="str">
        <x:v>Revision-E FCStd reopens</x:v>
      </x:c>
      <x:c r="C13" s="6" t="str">
        <x:v>PASS</x:v>
      </x:c>
      <x:c r="D13" s="6" t="str">
        <x:v>FreeCADCmd independently reopened 165 objects / 148 controlled solids; STEP retained 148 solids; IGES retained bounded face geometry; DXF entities and 30 scheduled holes reconciled</x:v>
      </x:c>
    </x:row>
    <x:row r="14" ht="54" customHeight="1">
      <x:c r="A14" s="6" t="str">
        <x:v>13</x:v>
      </x:c>
      <x:c r="B14" s="6" t="str">
        <x:v>STEP/IGES/DXF reimport</x:v>
      </x:c>
      <x:c r="C14" s="6" t="str">
        <x:v>PASS</x:v>
      </x:c>
      <x:c r="D14" s="6" t="str">
        <x:v>FreeCADCmd independently reopened 165 objects / 148 controlled solids; STEP retained 148 solids; IGES retained bounded face geometry; DXF entities and 30 scheduled holes reconciled</x:v>
      </x:c>
    </x:row>
    <x:row r="15" ht="54" customHeight="1">
      <x:c r="A15" s="6" t="str">
        <x:v>14</x:v>
      </x:c>
      <x:c r="B15" s="6" t="str">
        <x:v>Full BOM/panel layout reconcile</x:v>
      </x:c>
      <x:c r="C15" s="6" t="str">
        <x:v>PARTIAL</x:v>
      </x:c>
      <x:c r="D15" s="6" t="str">
        <x:v>Revision-E panel CAD remains natively verified; Revision-F electrical delta uses provisional carrier/camera/light envelopes and is not incorporated into QET/CAD</x:v>
      </x:c>
    </x:row>
    <x:row r="16" ht="54" customHeight="1">
      <x:c r="A16" s="6" t="str">
        <x:v>15</x:v>
      </x:c>
      <x:c r="B16" s="6" t="str">
        <x:v>Electrical calculations confirmed</x:v>
      </x:c>
      <x:c r="C16" s="6" t="str">
        <x:v>BLOCKED</x:v>
      </x:c>
      <x:c r="D16" s="6" t="str">
        <x:v>Supply, earthing, fault current, motors/pump, cable routes, installation method, ambient and enclosure/site requirements remain unconfirmed</x:v>
      </x:c>
    </x:row>
    <x:row r="17" ht="54" customHeight="1">
      <x:c r="A17" s="6" t="str">
        <x:v>16</x:v>
      </x:c>
      <x:c r="B17" s="6" t="str">
        <x:v>Real NVIDIA dataset controlled</x:v>
      </x:c>
      <x:c r="C17" s="6" t="str">
        <x:v>BLOCKED</x:v>
      </x:c>
      <x:c r="D17" s="6" t="str">
        <x:v>Dataset tooling, schema, collection matrix and leakage-safe split checks are ready; no representative labeled dataset exists</x:v>
      </x:c>
    </x:row>
    <x:row r="18" ht="54" customHeight="1">
      <x:c r="A18" s="6" t="str">
        <x:v>17</x:v>
      </x:c>
      <x:c r="B18" s="6" t="str">
        <x:v>Genuine model training/evaluation</x:v>
      </x:c>
      <x:c r="C18" s="6" t="str">
        <x:v>BLOCKED</x:v>
      </x:c>
      <x:c r="D18" s="6" t="str">
        <x:v>Training/evaluation tooling is ready; no approved dataset, training run, model or defensible production metrics exist</x:v>
      </x:c>
    </x:row>
    <x:row r="19" ht="54" customHeight="1">
      <x:c r="A19" s="6" t="str">
        <x:v>18</x:v>
      </x:c>
      <x:c r="B19" s="6" t="str">
        <x:v>TensorRT/DeepStream target runtime</x:v>
      </x:c>
      <x:c r="C19" s="6" t="str">
        <x:v>BLOCKED</x:v>
      </x:c>
      <x:c r="D19" s="6" t="str">
        <x:v>DeepStream 9.1/TAO 7.0.1 policy is documented; CUDA/TAO/TensorRT/DeepStream/Docker and target hardware are absent</x:v>
      </x:c>
    </x:row>
    <x:row r="20" ht="54" customHeight="1">
      <x:c r="A20" s="6" t="str">
        <x:v>19</x:v>
      </x:c>
      <x:c r="B20" s="6" t="str">
        <x:v>PLC-NVIDIA failure tests</x:v>
      </x:c>
      <x:c r="C20" s="6" t="str">
        <x:v>PARTIAL</x:v>
      </x:c>
      <x:c r="D20" s="6" t="str">
        <x:v>Source, edge, durable-audit, encrypted OPC UA and interface tests pass locally; native SCL enum binding, production S7/Jetson endpoint and physical timing remain unverified</x:v>
      </x:c>
    </x:row>
    <x:row r="21" ht="54" customHeight="1">
      <x:c r="A21" s="6" t="str">
        <x:v>20</x:v>
      </x:c>
      <x:c r="B21" s="6" t="str">
        <x:v>FAT/SAT/commissioning</x:v>
      </x:c>
      <x:c r="C21" s="6" t="str">
        <x:v>OPEN</x:v>
      </x:c>
      <x:c r="D21" s="6" t="str">
        <x:v>Controlled procedures issued; no FAT, SAT or commissioning was executed</x:v>
      </x:c>
    </x:row>
    <x:row r="22" ht="54" customHeight="1">
      <x:c r="A22" s="6" t="str">
        <x:v>21</x:v>
      </x:c>
      <x:c r="B22" s="6" t="str">
        <x:v>Qualified safety activities</x:v>
      </x:c>
      <x:c r="C22" s="6" t="str">
        <x:v>BLOCKED</x:v>
      </x:c>
      <x:c r="D22" s="6" t="str">
        <x:v>Project-specific qualified machinery-safety engineering, verification and validation are external and not performed</x:v>
      </x:c>
    </x:row>
    <x:row r="23" ht="54" customHeight="1">
      <x:c r="A23" s="6" t="str">
        <x:v>22</x:v>
      </x:c>
      <x:c r="B23" s="6" t="str">
        <x:v>Manifest independently verifies</x:v>
      </x:c>
      <x:c r="C23" s="6" t="str">
        <x:v>PARTIAL</x:v>
      </x:c>
      <x:c r="D23" s="6" t="str">
        <x:v>Manifest and clean-clone release-integrity gate closes only after the final Revision-F commit is pushed and reproduced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9.3799991607666" hidden="0" customWidth="1"/>
    <x:col min="3" max="3" width="30" hidden="0" customWidth="1"/>
    <x:col min="4" max="4" width="19.3799991607666" hidden="0" customWidth="1"/>
    <x:col min="5" max="5" width="19.3799991607666" hidden="0" customWidth="1"/>
    <x:col min="6" max="6" width="22.5" hidden="0" customWidth="1"/>
  </x:cols>
  <x:sheetData>
    <x:row r="1" ht="31.5" customHeight="1">
      <x:c r="A1" s="12" t="str">
        <x:v>document_id</x:v>
      </x:c>
      <x:c r="B1" s="12" t="str">
        <x:v>title</x:v>
      </x:c>
      <x:c r="C1" s="12" t="str">
        <x:v>path</x:v>
      </x:c>
      <x:c r="D1" s="12" t="str">
        <x:v>revision</x:v>
      </x:c>
      <x:c r="E1" s="12" t="str">
        <x:v>owner</x:v>
      </x:c>
      <x:c r="F1" s="12" t="str">
        <x:v>status</x:v>
      </x:c>
    </x:row>
    <x:row r="2" ht="54" customHeight="1">
      <x:c r="A2" s="6" t="str">
        <x:v>DOC-001</x:v>
      </x:c>
      <x:c r="B2" s="6" t="str">
        <x:v>Repository overview</x:v>
      </x:c>
      <x:c r="C2" s="6" t="str">
        <x:v>README.md</x:v>
      </x:c>
      <x:c r="D2" s="6" t="str">
        <x:v>F</x:v>
      </x:c>
      <x:c r="E2" s="6" t="str">
        <x:v>Lead systems engineer</x:v>
      </x:c>
      <x:c r="F2" s="6" t="str">
        <x:v>Controlled</x:v>
      </x:c>
    </x:row>
    <x:row r="3" ht="54" customHeight="1">
      <x:c r="A3" s="6" t="str">
        <x:v>DOC-002</x:v>
      </x:c>
      <x:c r="B3" s="6" t="str">
        <x:v>Canonical model</x:v>
      </x:c>
      <x:c r="C3" s="6" t="str">
        <x:v>00_project_control/canonical_model.json</x:v>
      </x:c>
      <x:c r="D3" s="6" t="str">
        <x:v>F</x:v>
      </x:c>
      <x:c r="E3" s="6" t="str">
        <x:v>Lead systems engineer</x:v>
      </x:c>
      <x:c r="F3" s="6" t="str">
        <x:v>Controlled</x:v>
      </x:c>
    </x:row>
    <x:row r="4" ht="54" customHeight="1">
      <x:c r="A4" s="6" t="str">
        <x:v>DOC-003</x:v>
      </x:c>
      <x:c r="B4" s="6" t="str">
        <x:v>Functional design specification</x:v>
      </x:c>
      <x:c r="C4" s="6" t="str">
        <x:v>13_documentation/functional_design_specification.md</x:v>
      </x:c>
      <x:c r="D4" s="6" t="str">
        <x:v>F</x:v>
      </x:c>
      <x:c r="E4" s="6" t="str">
        <x:v>Controls engineer</x:v>
      </x:c>
      <x:c r="F4" s="6" t="str">
        <x:v>Controlled; native compile open</x:v>
      </x:c>
    </x:row>
    <x:row r="5" ht="54" customHeight="1">
      <x:c r="A5" s="6" t="str">
        <x:v>DOC-004</x:v>
      </x:c>
      <x:c r="B5" s="6" t="str">
        <x:v>Software design specification</x:v>
      </x:c>
      <x:c r="C5" s="6" t="str">
        <x:v>13_documentation/software_design_specification.md</x:v>
      </x:c>
      <x:c r="D5" s="6" t="str">
        <x:v>F</x:v>
      </x:c>
      <x:c r="E5" s="6" t="str">
        <x:v>Controls engineer</x:v>
      </x:c>
      <x:c r="F5" s="6" t="str">
        <x:v>Controlled; native compile open</x:v>
      </x:c>
    </x:row>
    <x:row r="6" ht="54" customHeight="1">
      <x:c r="A6" s="6" t="str">
        <x:v>DOC-005</x:v>
      </x:c>
      <x:c r="B6" s="6" t="str">
        <x:v>PLC-NVIDIA interface control</x:v>
      </x:c>
      <x:c r="C6" s="6" t="str">
        <x:v>02_system_architecture/interface_control_document.md</x:v>
      </x:c>
      <x:c r="D6" s="6" t="str">
        <x:v>F</x:v>
      </x:c>
      <x:c r="E6" s="6" t="str">
        <x:v>Controls/vision</x:v>
      </x:c>
      <x:c r="F6" s="6" t="str">
        <x:v>Controlled; production endpoint open</x:v>
      </x:c>
    </x:row>
    <x:row r="7" ht="54" customHeight="1">
      <x:c r="A7" s="6" t="str">
        <x:v>DOC-006</x:v>
      </x:c>
      <x:c r="B7" s="6" t="str">
        <x:v>Panel design report</x:v>
      </x:c>
      <x:c r="C7" s="6" t="str">
        <x:v>13_documentation/panel_design_report.md</x:v>
      </x:c>
      <x:c r="D7" s="6" t="str">
        <x:v>F</x:v>
      </x:c>
      <x:c r="E7" s="6" t="str">
        <x:v>Electrical/panel</x:v>
      </x:c>
      <x:c r="F7" s="6" t="str">
        <x:v>Controlled assumptions; construction open</x:v>
      </x:c>
    </x:row>
    <x:row r="8" ht="54" customHeight="1">
      <x:c r="A8" s="6" t="str">
        <x:v>DOC-007</x:v>
      </x:c>
      <x:c r="B8" s="6" t="str">
        <x:v>Electrical calculation report</x:v>
      </x:c>
      <x:c r="C8" s="6" t="str">
        <x:v>13_documentation/electrical_calculation_report.md</x:v>
      </x:c>
      <x:c r="D8" s="6" t="str">
        <x:v>F</x:v>
      </x:c>
      <x:c r="E8" s="6" t="str">
        <x:v>Electrical</x:v>
      </x:c>
      <x:c r="F8" s="6" t="str">
        <x:v>Provisional; site inputs open</x:v>
      </x:c>
    </x:row>
    <x:row r="9" ht="54" customHeight="1">
      <x:c r="A9" s="6" t="str">
        <x:v>DOC-008</x:v>
      </x:c>
      <x:c r="B9" s="6" t="str">
        <x:v>Acceptance gate status</x:v>
      </x:c>
      <x:c r="C9" s="6" t="str">
        <x:v>14_qa/acceptance_gate_status.md</x:v>
      </x:c>
      <x:c r="D9" s="6" t="str">
        <x:v>F</x:v>
      </x:c>
      <x:c r="E9" s="6" t="str">
        <x:v>Independent V&amp;V</x:v>
      </x:c>
      <x:c r="F9" s="6" t="str">
        <x:v>Controlled</x:v>
      </x:c>
    </x:row>
    <x:row r="10" ht="54" customHeight="1">
      <x:c r="A10" s="6" t="str">
        <x:v>DOC-009</x:v>
      </x:c>
      <x:c r="B10" s="6" t="str">
        <x:v>Engineering workbook</x:v>
      </x:c>
      <x:c r="C10" s="6" t="str">
        <x:v>10_schedules/FC01_engineering_schedules.xlsx</x:v>
      </x:c>
      <x:c r="D10" s="6" t="str">
        <x:v>F</x:v>
      </x:c>
      <x:c r="E10" s="6" t="str">
        <x:v>Lead systems engineer</x:v>
      </x:c>
      <x:c r="F10" s="6" t="str">
        <x:v>Controlled generated artifact</x:v>
      </x:c>
    </x:row>
    <x:row r="11" ht="54" customHeight="1">
      <x:c r="A11" s="6" t="str">
        <x:v>DOC-010</x:v>
      </x:c>
      <x:c r="B11" s="6" t="str">
        <x:v>Release evidence PDF</x:v>
      </x:c>
      <x:c r="C11" s="6" t="str">
        <x:v>release/FC01_release_evidence.pdf</x:v>
      </x:c>
      <x:c r="D11" s="6" t="str">
        <x:v>F</x:v>
      </x:c>
      <x:c r="E11" s="6" t="str">
        <x:v>Lead systems engineer</x:v>
      </x:c>
      <x:c r="F11" s="6" t="str">
        <x:v>Controlled generated artifact</x:v>
      </x:c>
    </x:row>
    <x:row r="12" ht="54" customHeight="1">
      <x:c r="A12" s="6" t="str">
        <x:v>DOC-011</x:v>
      </x:c>
      <x:c r="B12" s="6" t="str">
        <x:v>Release manifest</x:v>
      </x:c>
      <x:c r="C12" s="6" t="str">
        <x:v>release/manifest.json</x:v>
      </x:c>
      <x:c r="D12" s="6" t="str">
        <x:v>F</x:v>
      </x:c>
      <x:c r="E12" s="6" t="str">
        <x:v>Configuration management</x:v>
      </x:c>
      <x:c r="F12" s="6" t="str">
        <x:v>Frozen after all content</x:v>
      </x:c>
    </x:row>
    <x:row r="13" ht="54" customHeight="1">
      <x:c r="A13" s="6" t="str">
        <x:v>DOC-012</x:v>
      </x:c>
      <x:c r="B13" s="6" t="str">
        <x:v>Native panel verification</x:v>
      </x:c>
      <x:c r="C13" s="6" t="str">
        <x:v>09_panel_cad/revision_e/native_verification.json</x:v>
      </x:c>
      <x:c r="D13" s="6" t="str">
        <x:v>F</x:v>
      </x:c>
      <x:c r="E13" s="6" t="str">
        <x:v>Panel engineer</x:v>
      </x:c>
      <x:c r="F13" s="6" t="str">
        <x:v>Native gate evidence</x:v>
      </x:c>
    </x:row>
    <x:row r="14" ht="54" customHeight="1">
      <x:c r="A14" s="6" t="str">
        <x:v>DOC-013</x:v>
      </x:c>
      <x:c r="B14" s="6" t="str">
        <x:v>Native QET verification</x:v>
      </x:c>
      <x:c r="C14" s="6" t="str">
        <x:v>03_electrical/revision_e/native_verification.json</x:v>
      </x:c>
      <x:c r="D14" s="6" t="str">
        <x:v>F</x:v>
      </x:c>
      <x:c r="E14" s="6" t="str">
        <x:v>Electrical engineer</x:v>
      </x:c>
      <x:c r="F14" s="6" t="str">
        <x:v>Native gate evidence when present</x:v>
      </x:c>
    </x:row>
    <x:row r="15" ht="54" customHeight="1">
      <x:c r="A15" s="6" t="str">
        <x:v>DOC-014</x:v>
      </x:c>
      <x:c r="B15" s="6" t="str">
        <x:v>Post-push fresh-clone reproduction</x:v>
      </x:c>
      <x:c r="C15" s="6" t="str">
        <x:v>14_qa/post_push_reproduction.md</x:v>
      </x:c>
      <x:c r="D15" s="6" t="str">
        <x:v>F</x:v>
      </x:c>
      <x:c r="E15" s="6" t="str">
        <x:v>Configuration management</x:v>
      </x:c>
      <x:c r="F15" s="6" t="str">
        <x:v>Published-candidate release-integrity evidence</x:v>
      </x:c>
    </x:row>
    <x:row r="16" ht="54" customHeight="1">
      <x:c r="A16" s="6" t="str">
        <x:v>DOC-015</x:v>
      </x:c>
      <x:c r="B16" s="6" t="str">
        <x:v>Revision-F vision integration architecture</x:v>
      </x:c>
      <x:c r="C16" s="6" t="str">
        <x:v>02_system_architecture/revision_f_vision_integration_architecture.md</x:v>
      </x:c>
      <x:c r="D16" s="6" t="str">
        <x:v>F</x:v>
      </x:c>
      <x:c r="E16" s="6" t="str">
        <x:v>Systems/vision</x:v>
      </x:c>
      <x:c r="F16" s="6" t="str">
        <x:v>Controlled</x:v>
      </x:c>
    </x:row>
    <x:row r="17" ht="54" customHeight="1">
      <x:c r="A17" s="6" t="str">
        <x:v>DOC-016</x:v>
      </x:c>
      <x:c r="B17" s="6" t="str">
        <x:v>Revision-F NVIDIA electrical delta</x:v>
      </x:c>
      <x:c r="C17" s="6" t="str">
        <x:v>03_electrical/revision_f_nvidia_electrical_delta.md</x:v>
      </x:c>
      <x:c r="D17" s="6" t="str">
        <x:v>F</x:v>
      </x:c>
      <x:c r="E17" s="6" t="str">
        <x:v>Electrical</x:v>
      </x:c>
      <x:c r="F17" s="6" t="str">
        <x:v>Provisional; native delta open</x:v>
      </x:c>
    </x:row>
    <x:row r="18" ht="54" customHeight="1">
      <x:c r="A18" s="6" t="str">
        <x:v>DOC-017</x:v>
      </x:c>
      <x:c r="B18" s="6" t="str">
        <x:v>Revision-F requirements gap matrix</x:v>
      </x:c>
      <x:c r="C18" s="6" t="str">
        <x:v>00_project_control/revision_f_requirements_gap_matrix.csv</x:v>
      </x:c>
      <x:c r="D18" s="6" t="str">
        <x:v>F</x:v>
      </x:c>
      <x:c r="E18" s="6" t="str">
        <x:v>Lead systems</x:v>
      </x:c>
      <x:c r="F18" s="6" t="str">
        <x:v>Controlled</x:v>
      </x:c>
    </x:row>
    <x:row r="19" ht="54" customHeight="1">
      <x:c r="A19" s="6" t="str">
        <x:v>DOC-018</x:v>
      </x:c>
      <x:c r="B19" s="6" t="str">
        <x:v>Revision-F vision fault matrix</x:v>
      </x:c>
      <x:c r="C19" s="6" t="str">
        <x:v>11_simulation/vision_fault_scenarios.json</x:v>
      </x:c>
      <x:c r="D19" s="6" t="str">
        <x:v>F</x:v>
      </x:c>
      <x:c r="E19" s="6" t="str">
        <x:v>Verification</x:v>
      </x:c>
      <x:c r="F19" s="6" t="str">
        <x:v>Structured behavioral fault-injection model</x:v>
      </x:c>
    </x:row>
    <x:row r="20" ht="54" customHeight="1">
      <x:c r="A20" s="6" t="str">
        <x:v>DOC-019</x:v>
      </x:c>
      <x:c r="B20" s="6" t="str">
        <x:v>NVIDIA version compatibility</x:v>
      </x:c>
      <x:c r="C20" s="6" t="str">
        <x:v>13_documentation/nvidia_version_compatibility.md</x:v>
      </x:c>
      <x:c r="D20" s="6" t="str">
        <x:v>F</x:v>
      </x:c>
      <x:c r="E20" s="6" t="str">
        <x:v>Vision</x:v>
      </x:c>
      <x:c r="F20" s="6" t="str">
        <x:v>Official sources checked</x:v>
      </x:c>
    </x:row>
    <x:row r="21" ht="54" customHeight="1">
      <x:c r="A21" s="6" t="str">
        <x:v>DOC-020</x:v>
      </x:c>
      <x:c r="B21" s="6" t="str">
        <x:v>AI commissioning procedure</x:v>
      </x:c>
      <x:c r="C21" s="6" t="str">
        <x:v>12_testing/AI_commissioning_procedure.md</x:v>
      </x:c>
      <x:c r="D21" s="6" t="str">
        <x:v>F</x:v>
      </x:c>
      <x:c r="E21" s="6" t="str">
        <x:v>Vision/controls</x:v>
      </x:c>
      <x:c r="F21" s="6" t="str">
        <x:v>Issued; not executed</x:v>
      </x:c>
    </x:row>
    <x:row r="22" ht="54" customHeight="1">
      <x:c r="A22" s="6" t="str">
        <x:v>DOC-021</x:v>
      </x:c>
      <x:c r="B22" s="6" t="str">
        <x:v>AI fault-injection procedure</x:v>
      </x:c>
      <x:c r="C22" s="6" t="str">
        <x:v>12_testing/AI_fault_injection_procedure.md</x:v>
      </x:c>
      <x:c r="D22" s="6" t="str">
        <x:v>F</x:v>
      </x:c>
      <x:c r="E22" s="6" t="str">
        <x:v>Verification</x:v>
      </x:c>
      <x:c r="F22" s="6" t="str">
        <x:v>Issued; software-only behavioral fault injection executed</x:v>
      </x:c>
    </x:row>
    <x:row r="23" ht="54" customHeight="1">
      <x:c r="A23" s="6" t="str">
        <x:v>DOC-022</x:v>
      </x:c>
      <x:c r="B23" s="6" t="str">
        <x:v>AI maintenance backup and rollback</x:v>
      </x:c>
      <x:c r="C23" s="6" t="str">
        <x:v>13_documentation/ai_maintenance_backup.md</x:v>
      </x:c>
      <x:c r="D23" s="6" t="str">
        <x:v>F</x:v>
      </x:c>
      <x:c r="E23" s="6" t="str">
        <x:v>Vision/OT</x:v>
      </x:c>
      <x:c r="F23" s="6" t="str">
        <x:v>Controlled</x:v>
      </x:c>
    </x:row>
    <x:row r="24" ht="54" customHeight="1">
      <x:c r="A24" s="6" t="str">
        <x:v>DOC-023</x:v>
      </x:c>
      <x:c r="B24" s="6" t="str">
        <x:v>AI troubleshooting guide</x:v>
      </x:c>
      <x:c r="C24" s="6" t="str">
        <x:v>13_documentation/ai_troubleshooting_guide.md</x:v>
      </x:c>
      <x:c r="D24" s="6" t="str">
        <x:v>F</x:v>
      </x:c>
      <x:c r="E24" s="6" t="str">
        <x:v>Vision/maintenance</x:v>
      </x:c>
      <x:c r="F24" s="6" t="str">
        <x:v>Controlled</x:v>
      </x:c>
    </x:row>
    <x:row r="25" ht="54" customHeight="1">
      <x:c r="A25" s="6" t="str">
        <x:v>DOC-024</x:v>
      </x:c>
      <x:c r="B25" s="6" t="str">
        <x:v>Dataset and model engineering specification</x:v>
      </x:c>
      <x:c r="C25" s="6" t="str">
        <x:v>07_nvidia_vision/dataset_model_engineering_specification.md</x:v>
      </x:c>
      <x:c r="D25" s="6" t="str">
        <x:v>F</x:v>
      </x:c>
      <x:c r="E25" s="6" t="str">
        <x:v>Vision/quality</x:v>
      </x:c>
      <x:c r="F25" s="6" t="str">
        <x:v>Controlled; real data open</x:v>
      </x:c>
    </x:row>
    <x:row r="26" ht="54" customHeight="1">
      <x:c r="A26" s="6" t="str">
        <x:v>DOC-025</x:v>
      </x:c>
      <x:c r="B26" s="6" t="str">
        <x:v>PLC-AI interface v3</x:v>
      </x:c>
      <x:c r="C26" s="6" t="str">
        <x:v>07_nvidia_vision/plc_ai_interface_v3.md</x:v>
      </x:c>
      <x:c r="D26" s="6" t="str">
        <x:v>F</x:v>
      </x:c>
      <x:c r="E26" s="6" t="str">
        <x:v>Controls/vision</x:v>
      </x:c>
      <x:c r="F26" s="6" t="str">
        <x:v>Controlled; native endpoint open</x:v>
      </x:c>
    </x:row>
    <x:row r="27" ht="54" customHeight="1">
      <x:c r="A27" s="6" t="str">
        <x:v>DOC-026</x:v>
      </x:c>
      <x:c r="B27" s="6" t="str">
        <x:v>Vision architecture trade study</x:v>
      </x:c>
      <x:c r="C27" s="6" t="str">
        <x:v>07_nvidia_vision/vision_architecture_trade_study.md</x:v>
      </x:c>
      <x:c r="D27" s="6" t="str">
        <x:v>F</x:v>
      </x:c>
      <x:c r="E27" s="6" t="str">
        <x:v>Systems/vision</x:v>
      </x:c>
      <x:c r="F27" s="6" t="str">
        <x:v>Controlled assumptions</x:v>
      </x:c>
    </x:row>
    <x:row r="28" ht="54" customHeight="1">
      <x:c r="A28" s="6" t="str">
        <x:v>DOC-027</x:v>
      </x:c>
      <x:c r="B28" s="6" t="str">
        <x:v>QET exact-hash native evidence</x:v>
      </x:c>
      <x:c r="C28" s="6" t="str">
        <x:v>03_electrical/revision_f_native_qet/native_reopen_export_evidence.json</x:v>
      </x:c>
      <x:c r="D28" s="6" t="str">
        <x:v>F</x:v>
      </x:c>
      <x:c r="E28" s="6" t="str">
        <x:v>Electrical</x:v>
      </x:c>
      <x:c r="F28" s="6" t="str">
        <x:v>PARTIAL overall gate</x:v>
      </x:c>
    </x:row>
    <x:row r="29" ht="54" customHeight="1">
      <x:c r="A29" s="6" t="str">
        <x:v>DOC-028</x:v>
      </x:c>
      <x:c r="B29" s="6" t="str">
        <x:v>QET native export</x:v>
      </x:c>
      <x:c r="C29" s="6" t="str">
        <x:v>03_electrical/revision_f_native_qet/FC01_revision_e_native_export.pdf</x:v>
      </x:c>
      <x:c r="D29" s="6" t="str">
        <x:v>F</x:v>
      </x:c>
      <x:c r="E29" s="6" t="str">
        <x:v>Electrical</x:v>
      </x:c>
      <x:c r="F29" s="6" t="str">
        <x:v>Native 26-page export; PARTIAL review</x:v>
      </x:c>
    </x:row>
    <x:row r="30" ht="54" customHeight="1">
      <x:c r="A30" s="6" t="str">
        <x:v>DOC-029</x:v>
      </x:c>
      <x:c r="B30" s="6" t="str">
        <x:v>Python runtime SBOM</x:v>
      </x:c>
      <x:c r="C30" s="6" t="str">
        <x:v>release/python_runtime_sbom.csv</x:v>
      </x:c>
      <x:c r="D30" s="6" t="str">
        <x:v>F</x:v>
      </x:c>
      <x:c r="E30" s="6" t="str">
        <x:v>Configuration management</x:v>
      </x:c>
      <x:c r="F30" s="6" t="str">
        <x:v>Controlled inventory</x:v>
      </x:c>
    </x:row>
    <x:row r="31" ht="54" customHeight="1">
      <x:c r="A31" s="6" t="str">
        <x:v>DOC-030</x:v>
      </x:c>
      <x:c r="B31" s="6" t="str">
        <x:v>Third-party licence review</x:v>
      </x:c>
      <x:c r="C31" s="6" t="str">
        <x:v>release/third_party_licence_review.md</x:v>
      </x:c>
      <x:c r="D31" s="6" t="str">
        <x:v>F</x:v>
      </x:c>
      <x:c r="E31" s="6" t="str">
        <x:v>Configuration management</x:v>
      </x:c>
      <x:c r="F31" s="6" t="str">
        <x:v>Engineering inventory; legal approval open</x:v>
      </x:c>
    </x:row>
    <x:row r="32" ht="54" customHeight="1">
      <x:c r="A32" s="6" t="str">
        <x:v>DOC-031</x:v>
      </x:c>
      <x:c r="B32" s="6" t="str">
        <x:v>Revision-F verification report</x:v>
      </x:c>
      <x:c r="C32" s="6" t="str">
        <x:v>14_qa/revision_f_verification_report.md</x:v>
      </x:c>
      <x:c r="D32" s="6" t="str">
        <x:v>F</x:v>
      </x:c>
      <x:c r="E32" s="6" t="str">
        <x:v>Independent verification</x:v>
      </x:c>
      <x:c r="F32" s="6" t="str">
        <x:v>Software-agent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2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</x:cols>
  <x:sheetData>
    <x:row r="1">
      <x:c r="A1" s="18" t="str">
        <x:v>FC01 - SIEMENS / NVIDIA ENGINEERING SCHEDULES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24" t="str">
        <x:v>FICTIONAL ENGINEERING PROJECT - NOT FOR CONSTRUCTION | Revision F | NVIDIA implementation-readiness release candidate</x:v>
      </x:c>
      <x:c r="B3" s="24"/>
      <x:c r="C3" s="24"/>
      <x:c r="D3" s="24"/>
      <x:c r="E3" s="24"/>
      <x:c r="F3" s="24"/>
      <x:c r="G3" s="24"/>
      <x:c r="H3" s="24"/>
    </x:row>
    <x:row r="4">
      <x:c r="A4" s="30" t="str">
        <x:v>CONCEPTUAL SAFETY ARCHITECTURE - REQUIRES PROJECT-SPECIFIC RISK ASSESSMENT, DESIGN, VERIFICATION AND VALIDATION BY A QUALIFIED MACHINERY-SAFETY ENGINEER. NO PERFORMANCE LEVEL, SIL, CATEGORY, CE CONFORMITY OR REGULATORY COMPLIANCE IS CLAIMED.</x:v>
      </x:c>
      <x:c r="B4" s="30"/>
      <x:c r="C4" s="30"/>
      <x:c r="D4" s="30"/>
      <x:c r="E4" s="30"/>
      <x:c r="F4" s="30"/>
      <x:c r="G4" s="30"/>
      <x:c r="H4" s="30"/>
    </x:row>
    <x:row r="5">
      <x:c r="A5" s="34" t="str">
        <x:v>Controlled metric</x:v>
      </x:c>
      <x:c r="B5" s="34" t="str">
        <x:v>Value</x:v>
      </x:c>
      <x:c r="D5" s="40" t="str">
        <x:v>Release boundary</x:v>
      </x:c>
      <x:c r="E5" s="40"/>
      <x:c r="F5" s="40"/>
      <x:c r="G5" s="40"/>
      <x:c r="H5" s="40"/>
    </x:row>
    <x:row r="6">
      <x:c r="A6" s="36" t="str">
        <x:v>PLC I/O rows</x:v>
      </x:c>
      <x:c r="B6" t="n">
        <x:f>COUNTA('PLC I-O'!A2:A200)</x:f>
        <x:v>74</x:v>
      </x:c>
      <x:c r="D6" s="46" t="str">
        <x:v>Revision F includes a source-tested 47-node fail-closed PLC/AI contract, production-structured edge and dataset tooling, 28 structured behavioral vision fault injections, a controlled electrical delta, secure local asyncua integration and inherited native CAD/QET evidence. The behavioral model is software-only evidence, not PLCSIM, HIL or physical testing. THE NVIDIA VISION SUBSYSTEM IS NON-SAFETY-RELATED AND MUST NOT BE USED AS THE SOLE MEANS OF PERSONNEL PROTECTION, SAFE STOP, GUARD MONITORING OR HAZARDOUS-MOTION CONTROL. Native Siemens, real dataset/model, target runtime, site electrical, FAT/SAT, qualified safety and physical commissioning remain blocked or open exactly as listed.</x:v>
      </x:c>
      <x:c r="E6" s="46"/>
      <x:c r="F6" s="46"/>
      <x:c r="G6" s="46"/>
      <x:c r="H6" s="46"/>
    </x:row>
    <x:row r="7">
      <x:c r="A7" s="36" t="str">
        <x:v>Physical DI</x:v>
      </x:c>
      <x:c r="B7" t="n">
        <x:f>COUNTIF('PLC I-O'!B2:B200,"DI")</x:f>
        <x:v>32</x:v>
      </x:c>
      <x:c r="D7" s="46"/>
      <x:c r="E7" s="46"/>
      <x:c r="F7" s="46"/>
      <x:c r="G7" s="46"/>
      <x:c r="H7" s="46"/>
    </x:row>
    <x:row r="8">
      <x:c r="A8" s="36" t="str">
        <x:v>Physical DO</x:v>
      </x:c>
      <x:c r="B8" t="n">
        <x:f>COUNTIF('PLC I-O'!B2:B200,"DO")</x:f>
        <x:v>32</x:v>
      </x:c>
      <x:c r="D8" s="46"/>
      <x:c r="E8" s="46"/>
      <x:c r="F8" s="46"/>
      <x:c r="G8" s="46"/>
      <x:c r="H8" s="46"/>
    </x:row>
    <x:row r="9">
      <x:c r="A9" s="36" t="str">
        <x:v>Analog inputs</x:v>
      </x:c>
      <x:c r="B9" t="n">
        <x:f>COUNTIF('PLC I-O'!B2:B200,"AI")</x:f>
        <x:v>8</x:v>
      </x:c>
      <x:c r="D9" s="46"/>
      <x:c r="E9" s="46"/>
      <x:c r="F9" s="46"/>
      <x:c r="G9" s="46"/>
      <x:c r="H9" s="46"/>
    </x:row>
    <x:row r="10">
      <x:c r="A10" s="36" t="str">
        <x:v>High-speed counters</x:v>
      </x:c>
      <x:c r="B10" t="n">
        <x:f>COUNTIF('PLC I-O'!B2:B200,"HSC")</x:f>
        <x:v>2</x:v>
      </x:c>
      <x:c r="D10" s="46"/>
      <x:c r="E10" s="46"/>
      <x:c r="F10" s="46"/>
      <x:c r="G10" s="46"/>
      <x:c r="H10" s="46"/>
    </x:row>
    <x:row r="11">
      <x:c r="A11" s="36" t="str">
        <x:v>Vision contract signals</x:v>
      </x:c>
      <x:c r="B11" t="n">
        <x:f>COUNTA('NVIDIA Interface'!A2:A100)</x:f>
        <x:v>47</x:v>
      </x:c>
      <x:c r="D11" s="46"/>
      <x:c r="E11" s="46"/>
      <x:c r="F11" s="46"/>
      <x:c r="G11" s="46"/>
      <x:c r="H11" s="46"/>
    </x:row>
    <x:row r="12">
      <x:c r="A12" s="36" t="str">
        <x:v>Traceability test records</x:v>
      </x:c>
      <x:c r="B12" t="n">
        <x:f>COUNTA('Test Coverage'!A2:A100)</x:f>
        <x:v>72</x:v>
      </x:c>
      <x:c r="D12" s="46"/>
      <x:c r="E12" s="46"/>
      <x:c r="F12" s="46"/>
      <x:c r="G12" s="46"/>
      <x:c r="H12" s="46"/>
    </x:row>
    <x:row r="13">
      <x:c r="A13" s="36" t="str">
        <x:v>PASS gates</x:v>
      </x:c>
      <x:c r="B13" t="n">
        <x:f>COUNTIF('Acceptance Gates'!C2:C100,"PASS")</x:f>
        <x:v>2</x:v>
      </x:c>
      <x:c r="D13" s="46"/>
      <x:c r="E13" s="46"/>
      <x:c r="F13" s="46"/>
      <x:c r="G13" s="46"/>
      <x:c r="H13" s="46"/>
    </x:row>
    <x:row r="14">
      <x:c r="A14" s="36" t="str">
        <x:v>PARTIAL gates</x:v>
      </x:c>
      <x:c r="B14" t="n">
        <x:f>COUNTIF('Acceptance Gates'!C2:C100,"PARTIAL")</x:f>
        <x:v>8</x:v>
      </x:c>
      <x:c r="D14" s="46"/>
      <x:c r="E14" s="46"/>
      <x:c r="F14" s="46"/>
      <x:c r="G14" s="46"/>
      <x:c r="H14" s="46"/>
    </x:row>
    <x:row r="15">
      <x:c r="A15" s="36" t="str">
        <x:v>BLOCKED + OPEN gates</x:v>
      </x:c>
      <x:c r="B15" t="n">
        <x:f>COUNTIF('Acceptance Gates'!C2:C100,"BLOCKED")+COUNTIF('Acceptance Gates'!C2:C100,"OPEN")</x:f>
        <x:v>12</x:v>
      </x:c>
      <x:c r="D15" s="46"/>
      <x:c r="E15" s="46"/>
      <x:c r="F15" s="46"/>
      <x:c r="G15" s="46"/>
      <x:c r="H15" s="46"/>
    </x:row>
    <x:row r="16">
      <x:c r="A16" s="36" t="str">
        <x:v>24 VDC demand (W)</x:v>
      </x:c>
      <x:c r="B16" t="n">
        <x:f>55+24+120+100</x:f>
        <x:v>299</x:v>
      </x:c>
    </x:row>
    <x:row r="17">
      <x:c r="A17" s="36" t="str">
        <x:v>Minimum current for 25% margin (A)</x:v>
      </x:c>
      <x:c r="B17" t="n">
        <x:f>(55+24+120+100)/24*1.25</x:f>
        <x:v>15.572916666666668</x:v>
      </x:c>
    </x:row>
  </x:sheetData>
  <x:mergeCells>
    <x:mergeCell ref="A1:H2"/>
    <x:mergeCell ref="A3:H3"/>
    <x:mergeCell ref="A4:H4"/>
    <x:mergeCell ref="D5:H5"/>
    <x:mergeCell ref="D6:H15"/>
  </x:mergeCells>
  <x:pageMargins left="0.7" right="0.7" top="0.75" bottom="0.75" header="0.3" footer="0.3"/>
</x:worksheet>
</file>