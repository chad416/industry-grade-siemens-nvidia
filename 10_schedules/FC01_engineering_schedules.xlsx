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emens Hardware" sheetId="1" r:id="rId4"/>
    <x:sheet xmlns:r="http://schemas.openxmlformats.org/officeDocument/2006/relationships" name="PLC I-O" sheetId="2" r:id="rId5"/>
    <x:sheet xmlns:r="http://schemas.openxmlformats.org/officeDocument/2006/relationships" name="Drive PZD" sheetId="3" r:id="rId6"/>
    <x:sheet xmlns:r="http://schemas.openxmlformats.org/officeDocument/2006/relationships" name="HMI Tags" sheetId="4" r:id="rId7"/>
    <x:sheet xmlns:r="http://schemas.openxmlformats.org/officeDocument/2006/relationships" name="Alarms" sheetId="5" r:id="rId8"/>
    <x:sheet xmlns:r="http://schemas.openxmlformats.org/officeDocument/2006/relationships" name="VFD Parameters" sheetId="6" r:id="rId9"/>
    <x:sheet xmlns:r="http://schemas.openxmlformats.org/officeDocument/2006/relationships" name="NVIDIA Interface" sheetId="7" r:id="rId10"/>
    <x:sheet xmlns:r="http://schemas.openxmlformats.org/officeDocument/2006/relationships" name="Network Nodes" sheetId="8" r:id="rId11"/>
    <x:sheet xmlns:r="http://schemas.openxmlformats.org/officeDocument/2006/relationships" name="Terminal Plan" sheetId="9" r:id="rId12"/>
    <x:sheet xmlns:r="http://schemas.openxmlformats.org/officeDocument/2006/relationships" name="Point-to-Point" sheetId="10" r:id="rId13"/>
    <x:sheet xmlns:r="http://schemas.openxmlformats.org/officeDocument/2006/relationships" name="Cable Schedule" sheetId="11" r:id="rId14"/>
    <x:sheet xmlns:r="http://schemas.openxmlformats.org/officeDocument/2006/relationships" name="Wire List" sheetId="12" r:id="rId15"/>
    <x:sheet xmlns:r="http://schemas.openxmlformats.org/officeDocument/2006/relationships" name="BOM" sheetId="13" r:id="rId16"/>
    <x:sheet xmlns:r="http://schemas.openxmlformats.org/officeDocument/2006/relationships" name="Load Budget" sheetId="14" r:id="rId17"/>
    <x:sheet xmlns:r="http://schemas.openxmlformats.org/officeDocument/2006/relationships" name="Panel Placement" sheetId="15" r:id="rId18"/>
    <x:sheet xmlns:r="http://schemas.openxmlformats.org/officeDocument/2006/relationships" name="Requirements Trace" sheetId="16" r:id="rId19"/>
    <x:sheet xmlns:r="http://schemas.openxmlformats.org/officeDocument/2006/relationships" name="Test Coverage" sheetId="17" r:id="rId20"/>
    <x:sheet xmlns:r="http://schemas.openxmlformats.org/officeDocument/2006/relationships" name="Input Requests" sheetId="18" r:id="rId21"/>
    <x:sheet xmlns:r="http://schemas.openxmlformats.org/officeDocument/2006/relationships" name="Acceptance Gates" sheetId="19" r:id="rId22"/>
    <x:sheet xmlns:r="http://schemas.openxmlformats.org/officeDocument/2006/relationships" name="Document Register" sheetId="20" r:id="rId23"/>
    <x:sheet xmlns:r="http://schemas.openxmlformats.org/officeDocument/2006/relationships" name="Release Summary" sheetId="21" r:id="rId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9"/>
      <x:color rgb="FF15232D"/>
      <x:name val="Carlito"/>
    </x:font>
    <x:font>
      <x:b/>
      <x:sz val="9"/>
      <x:color rgb="FFFFFFFF"/>
      <x:name val="Carlito"/>
    </x:font>
    <x:font>
      <x:b/>
      <x:sz val="18"/>
      <x:color rgb="FFFFFFFF"/>
      <x:name val="Carlito"/>
    </x:font>
    <x:font>
      <x:b/>
      <x:sz val="10"/>
      <x:color rgb="FF324B5C"/>
      <x:name val="Carlito"/>
    </x:font>
    <x:font>
      <x:b/>
      <x:sz val="8"/>
      <x:color rgb="FF8B1E2D"/>
      <x:name val="Carlito"/>
    </x:font>
    <x:font>
      <x:b/>
      <x:sz val="11"/>
      <x:color rgb="FFFFFFFF"/>
      <x:name val="Carlito"/>
    </x:font>
    <x:font>
      <x:b/>
      <x:sz val="11"/>
      <x:color rgb="FF12304A"/>
      <x:name val="Carlito"/>
    </x:font>
    <x:font>
      <x:sz val="10"/>
      <x:color rgb="FF642F3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EAF1F5"/>
      </x:patternFill>
    </x:fill>
    <x:fill>
      <x:patternFill patternType="solid">
        <x:fgColor rgb="FFFFF1F1"/>
      </x:patternFill>
    </x:fill>
    <x:fill>
      <x:patternFill patternType="solid">
        <x:fgColor rgb="FF1F6F9F"/>
      </x:patternFill>
    </x:fill>
    <x:fill>
      <x:patternFill patternType="solid">
        <x:fgColor rgb="FFC43D3D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1" /><Relationship Type="http://schemas.openxmlformats.org/officeDocument/2006/relationships/theme" Target="/xl/theme/theme1.xml" Id="rId2" /><Relationship Type="http://schemas.openxmlformats.org/officeDocument/2006/relationships/sharedStrings" Target="/xl/sharedStrings.xml" Id="rId3" /><Relationship Type="http://schemas.openxmlformats.org/officeDocument/2006/relationships/worksheet" Target="/xl/worksheets/sheet1.xml" Id="rId4" /><Relationship Type="http://schemas.openxmlformats.org/officeDocument/2006/relationships/worksheet" Target="/xl/worksheets/sheet2.xml" Id="rId5" /><Relationship Type="http://schemas.openxmlformats.org/officeDocument/2006/relationships/worksheet" Target="/xl/worksheets/sheet3.xml" Id="rId6" /><Relationship Type="http://schemas.openxmlformats.org/officeDocument/2006/relationships/worksheet" Target="/xl/worksheets/sheet4.xml" Id="rId7" /><Relationship Type="http://schemas.openxmlformats.org/officeDocument/2006/relationships/worksheet" Target="/xl/worksheets/sheet5.xml" Id="rId8" /><Relationship Type="http://schemas.openxmlformats.org/officeDocument/2006/relationships/worksheet" Target="/xl/worksheets/sheet6.xml" Id="rId9" /><Relationship Type="http://schemas.openxmlformats.org/officeDocument/2006/relationships/worksheet" Target="/xl/worksheets/sheet7.xml" Id="rId10" /><Relationship Type="http://schemas.openxmlformats.org/officeDocument/2006/relationships/worksheet" Target="/xl/worksheets/sheet8.xml" Id="rId11" /><Relationship Type="http://schemas.openxmlformats.org/officeDocument/2006/relationships/worksheet" Target="/xl/worksheets/sheet9.xml" Id="rId12" /><Relationship Type="http://schemas.openxmlformats.org/officeDocument/2006/relationships/worksheet" Target="/xl/worksheets/sheet10.xml" Id="rId13" /><Relationship Type="http://schemas.openxmlformats.org/officeDocument/2006/relationships/worksheet" Target="/xl/worksheets/sheet11.xml" Id="rId14" /><Relationship Type="http://schemas.openxmlformats.org/officeDocument/2006/relationships/worksheet" Target="/xl/worksheets/sheet12.xml" Id="rId15" /><Relationship Type="http://schemas.openxmlformats.org/officeDocument/2006/relationships/worksheet" Target="/xl/worksheets/sheet13.xml" Id="rId16" /><Relationship Type="http://schemas.openxmlformats.org/officeDocument/2006/relationships/worksheet" Target="/xl/worksheets/sheet14.xml" Id="rId17" /><Relationship Type="http://schemas.openxmlformats.org/officeDocument/2006/relationships/worksheet" Target="/xl/worksheets/sheet15.xml" Id="rId18" /><Relationship Type="http://schemas.openxmlformats.org/officeDocument/2006/relationships/worksheet" Target="/xl/worksheets/sheet16.xml" Id="rId19" /><Relationship Type="http://schemas.openxmlformats.org/officeDocument/2006/relationships/worksheet" Target="/xl/worksheets/sheet17.xml" Id="rId20" /><Relationship Type="http://schemas.openxmlformats.org/officeDocument/2006/relationships/worksheet" Target="/xl/worksheets/sheet18.xml" Id="rId21" /><Relationship Type="http://schemas.openxmlformats.org/officeDocument/2006/relationships/worksheet" Target="/xl/worksheets/sheet19.xml" Id="rId22" /><Relationship Type="http://schemas.openxmlformats.org/officeDocument/2006/relationships/worksheet" Target="/xl/worksheets/sheet20.xml" Id="rId23" /><Relationship Type="http://schemas.openxmlformats.org/officeDocument/2006/relationships/worksheet" Target="/xl/worksheets/sheet21.xml" Id="rId24" /></Relationships>
</file>

<file path=xl/tables/table1.xml><?xml version="1.0" encoding="utf-8"?>
<x:table xmlns:x="http://schemas.openxmlformats.org/spreadsheetml/2006/main" id="1" name="SiemensHardwareTable" displayName="SiemensHardwareTable" ref="A1:O12" headerRowCount="1" totalsRowCount="0" totalsRowShown="0">
  <x:autoFilter ref="A1:O12"/>
  <x:tableColumns count="15">
    <x:tableColumn id="1" name="tag"/>
    <x:tableColumn id="2" name="role"/>
    <x:tableColumn id="3" name="manufacturer"/>
    <x:tableColumn id="4" name="model"/>
    <x:tableColumn id="5" name="order_no"/>
    <x:tableColumn id="6" name="qty"/>
    <x:tableColumn id="7" name="selection"/>
    <x:tableColumn id="8" name="firmware"/>
    <x:tableColumn id="9" name="width_mm"/>
    <x:tableColumn id="10" name="height_mm"/>
    <x:tableColumn id="11" name="depth_mm"/>
    <x:tableColumn id="12" name="status"/>
    <x:tableColumn id="13" name="source_url"/>
    <x:tableColumn id="14" name="source_accessed"/>
    <x:tableColumn id="15" name="full_design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CIOTable" displayName="PLCIOTable" ref="A1:I75" headerRowCount="1" totalsRowCount="0" totalsRowShown="0">
  <x:autoFilter ref="A1:I75"/>
  <x:tableColumns count="9">
    <x:tableColumn id="1" name="symbol"/>
    <x:tableColumn id="2" name="direction"/>
    <x:tableColumn id="3" name="address"/>
    <x:tableColumn id="4" name="module"/>
    <x:tableColumn id="5" name="channel"/>
    <x:tableColumn id="6" name="device"/>
    <x:tableColumn id="7" name="description"/>
    <x:tableColumn id="8" name="safe_default"/>
    <x:tableColumn id="9" name="classific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rivePZDTable" displayName="DrivePZDTable" ref="A1:J9" headerRowCount="1" totalsRowCount="0" totalsRowShown="0">
  <x:autoFilter ref="A1:J9"/>
  <x:tableColumns count="10">
    <x:tableColumn id="1" name="drive"/>
    <x:tableColumn id="2" name="name"/>
    <x:tableColumn id="3" name="telegram"/>
    <x:tableColumn id="4" name="direction"/>
    <x:tableColumn id="5" name="pzd"/>
    <x:tableColumn id="6" name="address"/>
    <x:tableColumn id="7" name="signal"/>
    <x:tableColumn id="8" name="data_type"/>
    <x:tableColumn id="9" name="scaling"/>
    <x:tableColumn id="10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MITagsTable" displayName="HMITagsTable" ref="A1:J72" headerRowCount="1" totalsRowCount="0" totalsRowShown="0">
  <x:autoFilter ref="A1:J72"/>
  <x:tableColumns count="10">
    <x:tableColumn id="1" name="hmi_tag"/>
    <x:tableColumn id="2" name="plc_source"/>
    <x:tableColumn id="3" name="access"/>
    <x:tableColumn id="4" name="command"/>
    <x:tableColumn id="5" name="request_seq"/>
    <x:tableColumn id="6" name="accepted_seq"/>
    <x:tableColumn id="7" name="rejected_seq"/>
    <x:tableColumn id="8" name="disabled_reason"/>
    <x:tableColumn id="9" name="role"/>
    <x:tableColumn id="10" name="scre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larmsTable" displayName="AlarmsTable" ref="A1:F40" headerRowCount="1" totalsRowCount="0" totalsRowShown="0">
  <x:autoFilter ref="A1:F40"/>
  <x:tableColumns count="6">
    <x:tableColumn id="1" name="alarm_id"/>
    <x:tableColumn id="2" name="message"/>
    <x:tableColumn id="3" name="class"/>
    <x:tableColumn id="4" name="response"/>
    <x:tableColumn id="5" name="ack_required"/>
    <x:tableColumn id="6" name="reset_condi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FDParametersTable" displayName="VFDParametersTable" ref="A1:D7" headerRowCount="1" totalsRowCount="0" totalsRowShown="0">
  <x:autoFilter ref="A1:D7"/>
  <x:tableColumns count="4">
    <x:tableColumn id="1" name="drive"/>
    <x:tableColumn id="2" name="parameter"/>
    <x:tableColumn id="3" name="value"/>
    <x:tableColumn id="4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NVIDIAInterfaceTable" displayName="NVIDIAInterfaceTable" ref="A1:F28" headerRowCount="1" totalsRowCount="0" totalsRowShown="0">
  <x:autoFilter ref="A1:F28"/>
  <x:tableColumns count="6">
    <x:tableColumn id="1" name="signal"/>
    <x:tableColumn id="2" name="data_type"/>
    <x:tableColumn id="3" name="owner"/>
    <x:tableColumn id="4" name="meaning"/>
    <x:tableColumn id="5" name="transport"/>
    <x:tableColumn id="6" name="timeout_m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NetworkNodesTable" displayName="NetworkNodesTable" ref="A1:H8" headerRowCount="1" totalsRowCount="0" totalsRowShown="0">
  <x:autoFilter ref="A1:H8"/>
  <x:tableColumns count="8">
    <x:tableColumn id="1" name="node"/>
    <x:tableColumn id="2" name="ip"/>
    <x:tableColumn id="3" name="vlan"/>
    <x:tableColumn id="4" name="switch_port"/>
    <x:tableColumn id="5" name="zone"/>
    <x:tableColumn id="6" name="owner"/>
    <x:tableColumn id="7" name="role"/>
    <x:tableColumn id="8" name="allowed_servic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erminalPlanTable" displayName="TerminalPlanTable" ref="A1:Q85" headerRowCount="1" totalsRowCount="0" totalsRowShown="0">
  <x:autoFilter ref="A1:Q85"/>
  <x:tableColumns count="17">
    <x:tableColumn id="1" name="terminal"/>
    <x:tableColumn id="2" name="full_designation"/>
    <x:tableColumn id="3" name="signal"/>
    <x:tableColumn id="4" name="function"/>
    <x:tableColumn id="5" name="cable_id"/>
    <x:tableColumn id="6" name="core"/>
    <x:tableColumn id="7" name="field_device"/>
    <x:tableColumn id="8" name="field_designation"/>
    <x:tableColumn id="9" name="field_pin"/>
    <x:tableColumn id="10" name="module"/>
    <x:tableColumn id="11" name="module_designation"/>
    <x:tableColumn id="12" name="module_terminal"/>
    <x:tableColumn id="13" name="plc_address"/>
    <x:tableColumn id="14" name="potential"/>
    <x:tableColumn id="15" name="wire_no"/>
    <x:tableColumn id="16" name="shield_or_common"/>
    <x:tableColumn id="17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PointtoPointTable" displayName="PointtoPoin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bleScheduleTable" displayName="CableScheduleTable" ref="A1:L23" headerRowCount="1" totalsRowCount="0" totalsRowShown="0">
  <x:autoFilter ref="A1:L23"/>
  <x:tableColumns count="12">
    <x:tableColumn id="1" name="cable_id"/>
    <x:tableColumn id="2" name="from_location"/>
    <x:tableColumn id="3" name="to_device"/>
    <x:tableColumn id="4" name="to_designation"/>
    <x:tableColumn id="5" name="cable_type"/>
    <x:tableColumn id="6" name="installed_cores"/>
    <x:tableColumn id="7" name="allocated_cores"/>
    <x:tableColumn id="8" name="spare_cores"/>
    <x:tableColumn id="9" name="core_range"/>
    <x:tableColumn id="10" name="shield"/>
    <x:tableColumn id="11" name="route_zone"/>
    <x:tableColumn id="12" name="statu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WireListTable" displayName="WireLis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BOMTable" displayName="BOMTable" ref="A1:J63" headerRowCount="1" totalsRowCount="0" totalsRowShown="0">
  <x:autoFilter ref="A1:J63"/>
  <x:tableColumns count="10">
    <x:tableColumn id="1" name="item"/>
    <x:tableColumn id="2" name="tag"/>
    <x:tableColumn id="3" name="description"/>
    <x:tableColumn id="4" name="manufacturer"/>
    <x:tableColumn id="5" name="order_no"/>
    <x:tableColumn id="6" name="qty"/>
    <x:tableColumn id="7" name="selection_status"/>
    <x:tableColumn id="8" name="scope"/>
    <x:tableColumn id="9" name="basis_or_blocker"/>
    <x:tableColumn id="10" name="full_designa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LoadBudgetTable" displayName="LoadBudgetTable" ref="A1:F8" headerRowCount="1" totalsRowCount="0" totalsRowShown="0">
  <x:autoFilter ref="A1:F8"/>
  <x:tableColumns count="6">
    <x:tableColumn id="1" name="load"/>
    <x:tableColumn id="2" name="voltage"/>
    <x:tableColumn id="3" name="nominal_w"/>
    <x:tableColumn id="4" name="demand_factor"/>
    <x:tableColumn id="5" name="demand_w"/>
    <x:tableColumn id="6" name="basi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PanelPlacementTable" displayName="PanelPlacementTable" ref="A1:P15" headerRowCount="1" totalsRowCount="0" totalsRowShown="0">
  <x:autoFilter ref="A1:P15"/>
  <x:tableColumns count="16">
    <x:tableColumn id="1" name="tag"/>
    <x:tableColumn id="2" name="x_mm"/>
    <x:tableColumn id="3" name="y_mm"/>
    <x:tableColumn id="4" name="width_mm"/>
    <x:tableColumn id="5" name="height_mm"/>
    <x:tableColumn id="6" name="depth_mm"/>
    <x:tableColumn id="7" name="mounting"/>
    <x:tableColumn id="8" name="orientation"/>
    <x:tableColumn id="9" name="zone"/>
    <x:tableColumn id="10" name="top_clearance_mm"/>
    <x:tableColumn id="11" name="bottom_clearance_mm"/>
    <x:tableColumn id="12" name="side_clearance_mm"/>
    <x:tableColumn id="13" name="heat_w"/>
    <x:tableColumn id="14" name="dimension_basis"/>
    <x:tableColumn id="15" name="placement_status"/>
    <x:tableColumn id="16" name="full_designa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RequirementsTraceTable" displayName="RequirementsTraceTable" ref="A1:G26" headerRowCount="1" totalsRowCount="0" totalsRowShown="0">
  <x:autoFilter ref="A1:G26"/>
  <x:tableColumns count="7">
    <x:tableColumn id="1" name="requirement_id"/>
    <x:tableColumn id="2" name="requirement"/>
    <x:tableColumn id="3" name="verification"/>
    <x:tableColumn id="4" name="status"/>
    <x:tableColumn id="5" name="design_artifact"/>
    <x:tableColumn id="6" name="test_ids"/>
    <x:tableColumn id="7" name="evidenc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estCoverageTable" displayName="TestCoverageTable" ref="A1:F33" headerRowCount="1" totalsRowCount="0" totalsRowShown="0">
  <x:autoFilter ref="A1:F33"/>
  <x:tableColumns count="6">
    <x:tableColumn id="1" name="test_id"/>
    <x:tableColumn id="2" name="scenario"/>
    <x:tableColumn id="3" name="method"/>
    <x:tableColumn id="4" name="expected"/>
    <x:tableColumn id="5" name="native_plcsim"/>
    <x:tableColumn id="6" name="evidence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putRequestsTable" displayName="InputRequestsTable" ref="A1:G28" headerRowCount="1" totalsRowCount="0" totalsRowShown="0">
  <x:autoFilter ref="A1:G28"/>
  <x:tableColumns count="7">
    <x:tableColumn id="1" name="request_id"/>
    <x:tableColumn id="2" name="required_input"/>
    <x:tableColumn id="3" name="owner"/>
    <x:tableColumn id="4" name="blocks"/>
    <x:tableColumn id="5" name="status"/>
    <x:tableColumn id="6" name="date_requested"/>
    <x:tableColumn id="7" name="evidence_required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AcceptanceGatesTable" displayName="AcceptanceGatesTable" ref="A1:D23" headerRowCount="1" totalsRowCount="0" totalsRowShown="0">
  <x:autoFilter ref="A1:D23"/>
  <x:tableColumns count="4">
    <x:tableColumn id="1" name="gate"/>
    <x:tableColumn id="2" name="acceptance_gate"/>
    <x:tableColumn id="3" name="status"/>
    <x:tableColumn id="4" name="evidence_or_blocker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DocumentRegisterTable" displayName="DocumentRegisterTable" ref="A1:F15" headerRowCount="1" totalsRowCount="0" totalsRowShown="0">
  <x:autoFilter ref="A1:F15"/>
  <x:tableColumns count="6">
    <x:tableColumn id="1" name="document_id"/>
    <x:tableColumn id="2" name="title"/>
    <x:tableColumn id="3" name="path"/>
    <x:tableColumn id="4" name="revision"/>
    <x:tableColumn id="5" name="owner"/>
    <x:tableColumn id="6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I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0.630000114440918" hidden="0" customWidth="1"/>
    <x:col min="10" max="10" width="19.3799991607666" hidden="0" customWidth="1"/>
    <x:col min="11" max="11" width="19.3799991607666" hidden="0" customWidth="1"/>
    <x:col min="12" max="12" width="22.5" hidden="0" customWidth="1"/>
    <x:col min="13" max="13" width="19.3799991607666" hidden="0" customWidth="1"/>
    <x:col min="14" max="14" width="19.3799991607666" hidden="0" customWidth="1"/>
    <x:col min="15" max="15" width="19.3799991607666" hidden="0" customWidth="1"/>
  </x:cols>
  <x:sheetData>
    <x:row r="1" ht="31.5" customHeight="1">
      <x:c r="A1" s="12" t="str">
        <x:v>tag</x:v>
      </x:c>
      <x:c r="B1" s="12" t="str">
        <x:v>role</x:v>
      </x:c>
      <x:c r="C1" s="12" t="str">
        <x:v>manufacturer</x:v>
      </x:c>
      <x:c r="D1" s="12" t="str">
        <x:v>model</x:v>
      </x:c>
      <x:c r="E1" s="12" t="str">
        <x:v>order_no</x:v>
      </x:c>
      <x:c r="F1" s="12" t="str">
        <x:v>qty</x:v>
      </x:c>
      <x:c r="G1" s="12" t="str">
        <x:v>selection</x:v>
      </x:c>
      <x:c r="H1" s="12" t="str">
        <x:v>firmware</x:v>
      </x:c>
      <x:c r="I1" s="12" t="str">
        <x:v>width_mm</x:v>
      </x:c>
      <x:c r="J1" s="12" t="str">
        <x:v>height_mm</x:v>
      </x:c>
      <x:c r="K1" s="12" t="str">
        <x:v>depth_mm</x:v>
      </x:c>
      <x:c r="L1" s="12" t="str">
        <x:v>status</x:v>
      </x:c>
      <x:c r="M1" s="12" t="str">
        <x:v>source_url</x:v>
      </x:c>
      <x:c r="N1" s="12" t="str">
        <x:v>source_accessed</x:v>
      </x:c>
      <x:c r="O1" s="12" t="str">
        <x:v>full_designation</x:v>
      </x:c>
    </x:row>
    <x:row r="2" ht="27" customHeight="1">
      <x:c r="A2" s="6" t="str">
        <x:v>-A100</x:v>
      </x:c>
      <x:c r="B2" s="6" t="str">
        <x:v>PLC CPU</x:v>
      </x:c>
      <x:c r="C2" s="6" t="str">
        <x:v>Siemens</x:v>
      </x:c>
      <x:c r="D2" s="6" t="str">
        <x:v>SIMATIC S7-1500 CPU 1511-1 PN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FS03 / FW V4.0 for native TIA V20 engineering</x:v>
      </x:c>
      <x:c r="I2" s="6" t="str">
        <x:v>35</x:v>
      </x:c>
      <x:c r="J2" s="6" t="str">
        <x:v>147</x:v>
      </x:c>
      <x:c r="K2" s="6" t="str">
        <x:v>129</x:v>
      </x:c>
      <x:c r="L2" s="6" t="str">
        <x:v>Native catalog/configuration and delivered hardware state not yet verified</x:v>
      </x:c>
      <x:c r="M2" s="6" t="str">
        <x:v>https://support.industry.siemens.com/cs/attachments/109977233/s71500_cpu1511_1_pn_dtc_manual_en-US_en-US.pdf</x:v>
      </x:c>
      <x:c r="N2" s="6" t="str">
        <x:v>2026-08-02</x:v>
      </x:c>
      <x:c r="O2" s="6" t="str">
        <x:v>=FC01+CP01-A100</x:v>
      </x:c>
    </x:row>
    <x:row r="3" ht="27" customHeight="1">
      <x:c r="A3" s="6" t="str">
        <x:v>-A101</x:v>
      </x:c>
      <x:c r="B3" s="6" t="str">
        <x:v>High-speed counter</x:v>
      </x:c>
      <x:c r="C3" s="6" t="str">
        <x:v>Siemens</x:v>
      </x:c>
      <x:c r="D3" s="6" t="str">
        <x:v>TM Count 2x24V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Native catalog selection required</x:v>
      </x:c>
      <x:c r="I3" s="6" t="str">
        <x:v>35</x:v>
      </x:c>
      <x:c r="J3" s="6" t="str">
        <x:v>147</x:v>
      </x:c>
      <x:c r="K3" s="6" t="str">
        <x:v>129</x:v>
      </x:c>
      <x:c r="L3" s="6" t="str">
        <x:v>Two channels selected; TO configuration and K-factor inputs open</x:v>
      </x:c>
      <x:c r="M3" s="6" t="str">
        <x:v>https://support.industry.siemens.com/teddatasheet/?caller=SIOS&amp;format=pdf&amp;language=en&amp;mlfbs=6ES7550-1AA01-0AB0</x:v>
      </x:c>
      <x:c r="N3" s="6" t="str">
        <x:v>2026-08-02</x:v>
      </x:c>
      <x:c r="O3" s="6" t="str">
        <x:v>=FC01+CP01-A101</x:v>
      </x:c>
    </x:row>
    <x:row r="4" ht="27" customHeight="1">
      <x:c r="A4" s="6" t="str">
        <x:v>-A102</x:v>
      </x:c>
      <x:c r="B4" s="6" t="str">
        <x:v>Digital input</x:v>
      </x:c>
      <x:c r="C4" s="6" t="str">
        <x:v>Siemens</x:v>
      </x:c>
      <x:c r="D4" s="6" t="str">
        <x:v>DI 32x24V DC HF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Native catalog selection required</x:v>
      </x:c>
      <x:c r="I4" s="6" t="str">
        <x:v>35</x:v>
      </x:c>
      <x:c r="J4" s="6" t="str">
        <x:v>147</x:v>
      </x:c>
      <x:c r="K4" s="6" t="str">
        <x:v>129</x:v>
      </x:c>
      <x:c r="L4" s="6" t="str">
        <x:v>Front connector and channel parameters included separately</x:v>
      </x:c>
      <x:c r="M4" s="6" t="str">
        <x:v>https://mall.industry.siemens.com/mall/en/WW/Catalog/Product/6ES7521-1BL00-0AB0</x:v>
      </x:c>
      <x:c r="N4" s="6" t="str">
        <x:v>2026-08-02</x:v>
      </x:c>
      <x:c r="O4" s="6" t="str">
        <x:v>=FC01+CP01-A102</x:v>
      </x:c>
    </x:row>
    <x:row r="5" ht="27" customHeight="1">
      <x:c r="A5" s="6" t="str">
        <x:v>-A103</x:v>
      </x:c>
      <x:c r="B5" s="6" t="str">
        <x:v>Digital output</x:v>
      </x:c>
      <x:c r="C5" s="6" t="str">
        <x:v>Siemens</x:v>
      </x:c>
      <x:c r="D5" s="6" t="str">
        <x:v>DQ 32x24V DC/0.5A HF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Native catalog selection required</x:v>
      </x:c>
      <x:c r="I5" s="6" t="str">
        <x:v>35</x:v>
      </x:c>
      <x:c r="J5" s="6" t="str">
        <x:v>147</x:v>
      </x:c>
      <x:c r="K5" s="6" t="str">
        <x:v>129</x:v>
      </x:c>
      <x:c r="L5" s="6" t="str">
        <x:v>Field loads use interposing relays</x:v>
      </x:c>
      <x:c r="M5" s="6" t="str">
        <x:v>https://mall.industry.siemens.com/mall/en/WW/Catalog/Product/6ES7522-1BL01-0AB0</x:v>
      </x:c>
      <x:c r="N5" s="6" t="str">
        <x:v>2026-08-02</x:v>
      </x:c>
      <x:c r="O5" s="6" t="str">
        <x:v>=FC01+CP01-A103</x:v>
      </x:c>
    </x:row>
    <x:row r="6" ht="27" customHeight="1">
      <x:c r="A6" s="6" t="str">
        <x:v>-A104</x:v>
      </x:c>
      <x:c r="B6" s="6" t="str">
        <x:v>Analog input</x:v>
      </x:c>
      <x:c r="C6" s="6" t="str">
        <x:v>Siemens</x:v>
      </x:c>
      <x:c r="D6" s="6" t="str">
        <x:v>AI 8xU/I HF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Native catalog selection required</x:v>
      </x:c>
      <x:c r="I6" s="6" t="str">
        <x:v>35</x:v>
      </x:c>
      <x:c r="J6" s="6" t="str">
        <x:v>147</x:v>
      </x:c>
      <x:c r="K6" s="6" t="str">
        <x:v>129</x:v>
      </x:c>
      <x:c r="L6" s="6" t="str">
        <x:v>4-20 mA channel diagnostics require native parameterization</x:v>
      </x:c>
      <x:c r="M6" s="6" t="str">
        <x:v>https://mall.industry.siemens.com/mall/en/WW/Catalog/Product/6ES7531-7NF00-0AB0</x:v>
      </x:c>
      <x:c r="N6" s="6" t="str">
        <x:v>2026-08-02</x:v>
      </x:c>
      <x:c r="O6" s="6" t="str">
        <x:v>=FC01+CP01-A104</x:v>
      </x:c>
    </x:row>
    <x:row r="7" ht="27" customHeight="1">
      <x:c r="A7" s="6" t="str">
        <x:v>-H100</x:v>
      </x:c>
      <x:c r="B7" s="6" t="str">
        <x:v>Operator panel</x:v>
      </x:c>
      <x:c r="C7" s="6" t="str">
        <x:v>Siemens</x:v>
      </x:c>
      <x:c r="D7" s="6" t="str">
        <x:v>MTP700 Unified Comfort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WinCC Unified V20 target</x:v>
      </x:c>
      <x:c r="I7" s="6" t="str">
        <x:v>214</x:v>
      </x:c>
      <x:c r="J7" s="6" t="str">
        <x:v>158</x:v>
      </x:c>
      <x:c r="K7" s="6" t="str">
        <x:v>63.6</x:v>
      </x:c>
      <x:c r="L7" s="6" t="str">
        <x:v>Door cutout 198.3 x 142 mm; native HMI project/compile open</x:v>
      </x:c>
      <x:c r="M7" s="6" t="str">
        <x:v>https://support.industry.siemens.com/teddatasheet/?caller=SIOS&amp;format=pdf&amp;language=en&amp;mlfbs=6AV2128-3GB06-0AX1</x:v>
      </x:c>
      <x:c r="N7" s="6" t="str">
        <x:v>2026-08-02</x:v>
      </x:c>
      <x:c r="O7" s="6" t="str">
        <x:v>=FC01+CP01-H100</x:v>
      </x:c>
    </x:row>
    <x:row r="8" ht="27" customHeight="1">
      <x:c r="A8" s="6" t="str">
        <x:v>-U100</x:v>
      </x:c>
      <x:c r="B8" s="6" t="str">
        <x:v>Conveyor drive</x:v>
      </x:c>
      <x:c r="C8" s="6" t="str">
        <x:v>Siemens</x:v>
      </x:c>
      <x:c r="D8" s="6" t="str">
        <x:v>SINAMICS G120C PN 0.75 kW unfiltered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Startdrive selection open</x:v>
      </x:c>
      <x:c r="I8" s="6" t="str">
        <x:v>73</x:v>
      </x:c>
      <x:c r="J8" s="6" t="str">
        <x:v>196</x:v>
      </x:c>
      <x:c r="K8" s="6" t="str">
        <x:v>225.4</x:v>
      </x:c>
      <x:c r="L8" s="6" t="str">
        <x:v>SELECTED ENVELOPE; drive rating/duty and Startdrive configuration remain provisional</x:v>
      </x:c>
      <x:c r="M8" s="6" t="str">
        <x:v>https://mall.industry.siemens.com/mall/en/WW/Catalog/Product/6SL3210-1KE12-3UF2</x:v>
      </x:c>
      <x:c r="N8" s="6" t="str">
        <x:v>2026-08-02</x:v>
      </x:c>
      <x:c r="O8" s="6" t="str">
        <x:v>=FC01+CP01-U100</x:v>
      </x:c>
    </x:row>
    <x:row r="9" ht="27" customHeight="1">
      <x:c r="A9" s="6" t="str">
        <x:v>-U101</x:v>
      </x:c>
      <x:c r="B9" s="6" t="str">
        <x:v>Pump drive</x:v>
      </x:c>
      <x:c r="C9" s="6" t="str">
        <x:v>Siemens</x:v>
      </x:c>
      <x:c r="D9" s="6" t="str">
        <x:v>SINAMICS G120C PN 0.75 kW unfiltered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Startdrive selection open</x:v>
      </x:c>
      <x:c r="I9" s="6" t="str">
        <x:v>73</x:v>
      </x:c>
      <x:c r="J9" s="6" t="str">
        <x:v>196</x:v>
      </x:c>
      <x:c r="K9" s="6" t="str">
        <x:v>225.4</x:v>
      </x:c>
      <x:c r="L9" s="6" t="str">
        <x:v>SELECTED ENVELOPE; drive rating/duty and Startdrive configuration remain provisional</x:v>
      </x:c>
      <x:c r="M9" s="6" t="str">
        <x:v>https://mall.industry.siemens.com/mall/en/WW/Catalog/Product/6SL3210-1KE12-3UF2</x:v>
      </x:c>
      <x:c r="N9" s="6" t="str">
        <x:v>2026-08-02</x:v>
      </x:c>
      <x:c r="O9" s="6" t="str">
        <x:v>=FC01+CP01-U101</x:v>
      </x:c>
    </x:row>
    <x:row r="10" ht="27" customHeight="1">
      <x:c r="A10" s="6" t="str">
        <x:v>-SW100</x:v>
      </x:c>
      <x:c r="B10" s="6" t="str">
        <x:v>Managed Ethernet switch</x:v>
      </x:c>
      <x:c r="C10" s="6" t="str">
        <x:v>Siemens</x:v>
      </x:c>
      <x:c r="D10" s="6" t="str">
        <x:v>SCALANCE XC208 managed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Native configuration open</x:v>
      </x:c>
      <x:c r="I10" s="6" t="str">
        <x:v>60</x:v>
      </x:c>
      <x:c r="J10" s="6" t="str">
        <x:v>147</x:v>
      </x:c>
      <x:c r="K10" s="6" t="str">
        <x:v>125</x:v>
      </x:c>
      <x:c r="L10" s="6" t="str">
        <x:v>VLAN-capable Layer 2 switch; firewall/router required for inter-zone traffic</x:v>
      </x:c>
      <x:c r="M10" s="6" t="str">
        <x:v>https://support.industry.siemens.com/teddatasheet/?caller=SIOS&amp;format=pdf&amp;language=en&amp;mlfbs=6GK5208-0BA00-2AC2</x:v>
      </x:c>
      <x:c r="N10" s="6" t="str">
        <x:v>2026-08-02</x:v>
      </x:c>
      <x:c r="O10" s="6" t="str">
        <x:v>=FC01+CP01-SW100</x:v>
      </x:c>
    </x:row>
    <x:row r="11" ht="27" customHeight="1">
      <x:c r="A11" s="6" t="str">
        <x:v>-FW100</x:v>
      </x:c>
      <x:c r="B11" s="6" t="str">
        <x:v>Industrial firewall/router</x:v>
      </x:c>
      <x:c r="C11" s="6" t="str">
        <x:v>Siemens</x:v>
      </x:c>
      <x:c r="D11" s="6" t="str">
        <x:v>SCALANCE S615 EEC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Native configuration open</x:v>
      </x:c>
      <x:c r="I11" s="6" t="str">
        <x:v>35</x:v>
      </x:c>
      <x:c r="J11" s="6" t="str">
        <x:v>147</x:v>
      </x:c>
      <x:c r="K11" s="6" t="str">
        <x:v>127</x:v>
      </x:c>
      <x:c r="L11" s="6" t="str">
        <x:v>SELECTED NETWORK BASELINE — native configuration and site policy open</x:v>
      </x:c>
      <x:c r="M11" s="6" t="str">
        <x:v>https://mall.industry.siemens.com/mall/en/oeii/Catalog/Product?SiepCountryCode=OE&amp;mlfb=6GK5615-0AA01-2AA2</x:v>
      </x:c>
      <x:c r="N11" s="6" t="str">
        <x:v>2026-08-02</x:v>
      </x:c>
      <x:c r="O11" s="6" t="str">
        <x:v>=FC01+CP01-FW100</x:v>
      </x:c>
    </x:row>
    <x:row r="12" ht="27" customHeight="1">
      <x:c r="A12" s="6" t="str">
        <x:v>-PC200</x:v>
      </x:c>
      <x:c r="B12" s="6" t="str">
        <x:v>Vision edge compute</x:v>
      </x:c>
      <x:c r="C12" s="6" t="str">
        <x:v>NVIDIA</x:v>
      </x:c>
      <x:c r="D12" s="6" t="str">
        <x:v>Jetson Orin NX 16GB on industrial carrier</x:v>
      </x:c>
      <x:c r="E12" s="6" t="str"/>
      <x:c r="F12" s="6" t="str">
        <x:v>1</x:v>
      </x:c>
      <x:c r="G12" s="6" t="str">
        <x:v>Architecture only</x:v>
      </x:c>
      <x:c r="H12" s="6" t="str">
        <x:v>JetPack/DeepStream image not selected</x:v>
      </x:c>
      <x:c r="I12" s="6" t="str">
        <x:v>115</x:v>
      </x:c>
      <x:c r="J12" s="6" t="str">
        <x:v>165</x:v>
      </x:c>
      <x:c r="K12" s="6" t="str">
        <x:v>80</x:v>
      </x:c>
      <x:c r="L12" s="6" t="str">
        <x:v>TBD — NOT PROCUREMENT OR CONSTRUCTION DATA; confirm industrial carrier, thermal solution, EMC and lifecycle</x:v>
      </x:c>
      <x:c r="M12" s="6" t="str">
        <x:v>https://developer.nvidia.com/deepstream-sdk</x:v>
      </x:c>
      <x:c r="N12" s="6" t="str">
        <x:v>2026-08-02</x:v>
      </x:c>
      <x:c r="O12" s="6" t="str">
        <x:v>=FC01+CP01-PC200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9.3799991607666" hidden="0" customWidth="1"/>
    <x:col min="3" max="3" width="22.5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33.75" hidden="0" customWidth="1"/>
    <x:col min="8" max="8" width="19.3799991607666" hidden="0" customWidth="1"/>
    <x:col min="9" max="9" width="19.3799991607666" hidden="0" customWidth="1"/>
  </x:cols>
  <x:sheetData>
    <x:row r="1" ht="31.5" customHeight="1">
      <x:c r="A1" s="12" t="str">
        <x:v>symbol</x:v>
      </x:c>
      <x:c r="B1" s="12" t="str">
        <x:v>direction</x:v>
      </x:c>
      <x:c r="C1" s="12" t="str">
        <x:v>address</x:v>
      </x:c>
      <x:c r="D1" s="12" t="str">
        <x:v>module</x:v>
      </x:c>
      <x:c r="E1" s="12" t="str">
        <x:v>channel</x:v>
      </x:c>
      <x:c r="F1" s="12" t="str">
        <x:v>device</x:v>
      </x:c>
      <x:c r="G1" s="12" t="str">
        <x:v>description</x:v>
      </x:c>
      <x:c r="H1" s="12" t="str">
        <x:v>safe_default</x:v>
      </x:c>
      <x:c r="I1" s="12" t="str">
        <x:v>classification</x:v>
      </x:c>
    </x:row>
    <x:row r="2" ht="27" customHeight="1">
      <x:c r="A2" s="6" t="str">
        <x:v>SAFETY_OK</x:v>
      </x:c>
      <x:c r="B2" s="6" t="str">
        <x:v>DI</x:v>
      </x:c>
      <x:c r="C2" s="6" t="str">
        <x:v>I0.0</x:v>
      </x:c>
      <x:c r="D2" s="6" t="str">
        <x:v>-A102</x:v>
      </x:c>
      <x:c r="E2" s="6" t="str">
        <x:v>0</x:v>
      </x:c>
      <x:c r="F2" s="6" t="str">
        <x:v>-K100</x:v>
      </x:c>
      <x:c r="G2" s="6" t="str">
        <x:v>Dry-contact mirror from the external safety interface; monitoring only, never a safety control channel</x:v>
      </x:c>
      <x:c r="H2" s="6" t="str">
        <x:v>FALSE</x:v>
      </x:c>
      <x:c r="I2" s="6" t="str">
        <x:v>Standard control</x:v>
      </x:c>
    </x:row>
    <x:row r="3" ht="27" customHeight="1">
      <x:c r="A3" s="6" t="str">
        <x:v>GUARD_CLOSED_STATUS</x:v>
      </x:c>
      <x:c r="B3" s="6" t="str">
        <x:v>DI</x:v>
      </x:c>
      <x:c r="C3" s="6" t="str">
        <x:v>I0.1</x:v>
      </x:c>
      <x:c r="D3" s="6" t="str">
        <x:v>-A102</x:v>
      </x:c>
      <x:c r="E3" s="6" t="str">
        <x:v>1</x:v>
      </x:c>
      <x:c r="F3" s="6" t="str">
        <x:v>-S102</x:v>
      </x:c>
      <x:c r="G3" s="6" t="str">
        <x:v>Dry-contact guard-status mirror; monitoring only, never a safety control channel</x:v>
      </x:c>
      <x:c r="H3" s="6" t="str">
        <x:v>FALSE</x:v>
      </x:c>
      <x:c r="I3" s="6" t="str">
        <x:v>Standard control</x:v>
      </x:c>
    </x:row>
    <x:row r="4" ht="27" customHeight="1">
      <x:c r="A4" s="6" t="str">
        <x:v>AIR_PRESSURE_OK</x:v>
      </x:c>
      <x:c r="B4" s="6" t="str">
        <x:v>DI</x:v>
      </x:c>
      <x:c r="C4" s="6" t="str">
        <x:v>I0.2</x:v>
      </x:c>
      <x:c r="D4" s="6" t="str">
        <x:v>-A102</x:v>
      </x:c>
      <x:c r="E4" s="6" t="str">
        <x:v>2</x:v>
      </x:c>
      <x:c r="F4" s="6" t="str">
        <x:v>-B100</x:v>
      </x:c>
      <x:c r="G4" s="6" t="str">
        <x:v>Pneumatic pressure switch</x:v>
      </x:c>
      <x:c r="H4" s="6" t="str">
        <x:v>FALSE</x:v>
      </x:c>
      <x:c r="I4" s="6" t="str">
        <x:v>Standard control</x:v>
      </x:c>
    </x:row>
    <x:row r="5" ht="27" customHeight="1">
      <x:c r="A5" s="6" t="str">
        <x:v>PRODUCT_SUPPLY_OK</x:v>
      </x:c>
      <x:c r="B5" s="6" t="str">
        <x:v>DI</x:v>
      </x:c>
      <x:c r="C5" s="6" t="str">
        <x:v>I0.3</x:v>
      </x:c>
      <x:c r="D5" s="6" t="str">
        <x:v>-A102</x:v>
      </x:c>
      <x:c r="E5" s="6" t="str">
        <x:v>3</x:v>
      </x:c>
      <x:c r="F5" s="6" t="str">
        <x:v>-B101</x:v>
      </x:c>
      <x:c r="G5" s="6" t="str">
        <x:v>Product supply permissive</x:v>
      </x:c>
      <x:c r="H5" s="6" t="str">
        <x:v>FALSE</x:v>
      </x:c>
      <x:c r="I5" s="6" t="str">
        <x:v>Standard control</x:v>
      </x:c>
    </x:row>
    <x:row r="6" ht="27" customHeight="1">
      <x:c r="A6" s="6" t="str">
        <x:v>DI_SPARE_DRIVE_REMOVED_01</x:v>
      </x:c>
      <x:c r="B6" s="6" t="str">
        <x:v>DI</x:v>
      </x:c>
      <x:c r="C6" s="6" t="str">
        <x:v>I0.4</x:v>
      </x:c>
      <x:c r="D6" s="6" t="str">
        <x:v>-A102</x:v>
      </x:c>
      <x:c r="E6" s="6" t="str">
        <x:v>4</x:v>
      </x:c>
      <x:c r="F6" s="6" t="str">
        <x:v>SPARE</x:v>
      </x:c>
      <x:c r="G6" s="6" t="str">
        <x:v>Spare channel; hardwired drive run/status removed because Standard Telegram 1 PROFINET is primary</x:v>
      </x:c>
      <x:c r="H6" s="6" t="str">
        <x:v>FALSE</x:v>
      </x:c>
      <x:c r="I6" s="6" t="str">
        <x:v>Standard control</x:v>
      </x:c>
    </x:row>
    <x:row r="7" ht="27" customHeight="1">
      <x:c r="A7" s="6" t="str">
        <x:v>DI_SPARE_DRIVE_REMOVED_02</x:v>
      </x:c>
      <x:c r="B7" s="6" t="str">
        <x:v>DI</x:v>
      </x:c>
      <x:c r="C7" s="6" t="str">
        <x:v>I0.5</x:v>
      </x:c>
      <x:c r="D7" s="6" t="str">
        <x:v>-A102</x:v>
      </x:c>
      <x:c r="E7" s="6" t="str">
        <x:v>5</x:v>
      </x:c>
      <x:c r="F7" s="6" t="str">
        <x:v>SPARE</x:v>
      </x:c>
      <x:c r="G7" s="6" t="str">
        <x:v>Spare channel; hardwired drive run/status removed because Standard Telegram 1 PROFINET is primary</x:v>
      </x:c>
      <x:c r="H7" s="6" t="str">
        <x:v>FALSE</x:v>
      </x:c>
      <x:c r="I7" s="6" t="str">
        <x:v>Standard control</x:v>
      </x:c>
    </x:row>
    <x:row r="8" ht="27" customHeight="1">
      <x:c r="A8" s="6" t="str">
        <x:v>DI_SPARE_DRIVE_REMOVED_03</x:v>
      </x:c>
      <x:c r="B8" s="6" t="str">
        <x:v>DI</x:v>
      </x:c>
      <x:c r="C8" s="6" t="str">
        <x:v>I0.6</x:v>
      </x:c>
      <x:c r="D8" s="6" t="str">
        <x:v>-A102</x:v>
      </x:c>
      <x:c r="E8" s="6" t="str">
        <x:v>6</x:v>
      </x:c>
      <x:c r="F8" s="6" t="str">
        <x:v>SPARE</x:v>
      </x:c>
      <x:c r="G8" s="6" t="str">
        <x:v>Spare channel; hardwired drive run/status removed because Standard Telegram 1 PROFINET is primary</x:v>
      </x:c>
      <x:c r="H8" s="6" t="str">
        <x:v>FALSE</x:v>
      </x:c>
      <x:c r="I8" s="6" t="str">
        <x:v>Standard control</x:v>
      </x:c>
    </x:row>
    <x:row r="9" ht="27" customHeight="1">
      <x:c r="A9" s="6" t="str">
        <x:v>DI_SPARE_DRIVE_REMOVED_04</x:v>
      </x:c>
      <x:c r="B9" s="6" t="str">
        <x:v>DI</x:v>
      </x:c>
      <x:c r="C9" s="6" t="str">
        <x:v>I0.7</x:v>
      </x:c>
      <x:c r="D9" s="6" t="str">
        <x:v>-A102</x:v>
      </x:c>
      <x:c r="E9" s="6" t="str">
        <x:v>7</x:v>
      </x:c>
      <x:c r="F9" s="6" t="str">
        <x:v>SPARE</x:v>
      </x:c>
      <x:c r="G9" s="6" t="str">
        <x:v>Spare channel; hardwired drive run/status removed because Standard Telegram 1 PROFINET is primary</x:v>
      </x:c>
      <x:c r="H9" s="6" t="str">
        <x:v>FALSE</x:v>
      </x:c>
      <x:c r="I9" s="6" t="str">
        <x:v>Standard control</x:v>
      </x:c>
    </x:row>
    <x:row r="10" ht="27" customHeight="1">
      <x:c r="A10" s="6" t="str">
        <x:v>DI_SPARE_DRIVE_REMOVED_05</x:v>
      </x:c>
      <x:c r="B10" s="6" t="str">
        <x:v>DI</x:v>
      </x:c>
      <x:c r="C10" s="6" t="str">
        <x:v>I1.0</x:v>
      </x:c>
      <x:c r="D10" s="6" t="str">
        <x:v>-A102</x:v>
      </x:c>
      <x:c r="E10" s="6" t="str">
        <x:v>8</x:v>
      </x:c>
      <x:c r="F10" s="6" t="str">
        <x:v>SPARE</x:v>
      </x:c>
      <x:c r="G10" s="6" t="str">
        <x:v>Spare channel; hardwired drive run/status removed because Standard Telegram 1 PROFINET is primary</x:v>
      </x:c>
      <x:c r="H10" s="6" t="str">
        <x:v>FALSE</x:v>
      </x:c>
      <x:c r="I10" s="6" t="str">
        <x:v>Standard control</x:v>
      </x:c>
    </x:row>
    <x:row r="11" ht="27" customHeight="1">
      <x:c r="A11" s="6" t="str">
        <x:v>DI_SPARE_DRIVE_REMOVED_06</x:v>
      </x:c>
      <x:c r="B11" s="6" t="str">
        <x:v>DI</x:v>
      </x:c>
      <x:c r="C11" s="6" t="str">
        <x:v>I1.1</x:v>
      </x:c>
      <x:c r="D11" s="6" t="str">
        <x:v>-A102</x:v>
      </x:c>
      <x:c r="E11" s="6" t="str">
        <x:v>9</x:v>
      </x:c>
      <x:c r="F11" s="6" t="str">
        <x:v>SPARE</x:v>
      </x:c>
      <x:c r="G11" s="6" t="str">
        <x:v>Spare channel; hardwired drive run/status removed because Standard Telegram 1 PROFINET is primary</x:v>
      </x:c>
      <x:c r="H11" s="6" t="str">
        <x:v>FALSE</x:v>
      </x:c>
      <x:c r="I11" s="6" t="str">
        <x:v>Standard control</x:v>
      </x:c>
    </x:row>
    <x:row r="12" ht="27" customHeight="1">
      <x:c r="A12" s="6" t="str">
        <x:v>BOTTLE_AT_NEST_1</x:v>
      </x:c>
      <x:c r="B12" s="6" t="str">
        <x:v>DI</x:v>
      </x:c>
      <x:c r="C12" s="6" t="str">
        <x:v>I1.2</x:v>
      </x:c>
      <x:c r="D12" s="6" t="str">
        <x:v>-A102</x:v>
      </x:c>
      <x:c r="E12" s="6" t="str">
        <x:v>10</x:v>
      </x:c>
      <x:c r="F12" s="6" t="str">
        <x:v>-B110</x:v>
      </x:c>
      <x:c r="G12" s="6" t="str">
        <x:v>Bottle 1 position sensor</x:v>
      </x:c>
      <x:c r="H12" s="6" t="str">
        <x:v>FALSE</x:v>
      </x:c>
      <x:c r="I12" s="6" t="str">
        <x:v>Standard control</x:v>
      </x:c>
    </x:row>
    <x:row r="13" ht="27" customHeight="1">
      <x:c r="A13" s="6" t="str">
        <x:v>BOTTLE_AT_NEST_2</x:v>
      </x:c>
      <x:c r="B13" s="6" t="str">
        <x:v>DI</x:v>
      </x:c>
      <x:c r="C13" s="6" t="str">
        <x:v>I1.3</x:v>
      </x:c>
      <x:c r="D13" s="6" t="str">
        <x:v>-A102</x:v>
      </x:c>
      <x:c r="E13" s="6" t="str">
        <x:v>11</x:v>
      </x:c>
      <x:c r="F13" s="6" t="str">
        <x:v>-B111</x:v>
      </x:c>
      <x:c r="G13" s="6" t="str">
        <x:v>Bottle 2 position sensor</x:v>
      </x:c>
      <x:c r="H13" s="6" t="str">
        <x:v>FALSE</x:v>
      </x:c>
      <x:c r="I13" s="6" t="str">
        <x:v>Standard control</x:v>
      </x:c>
    </x:row>
    <x:row r="14" ht="27" customHeight="1">
      <x:c r="A14" s="6" t="str">
        <x:v>GATE_OPEN_FB</x:v>
      </x:c>
      <x:c r="B14" s="6" t="str">
        <x:v>DI</x:v>
      </x:c>
      <x:c r="C14" s="6" t="str">
        <x:v>I1.4</x:v>
      </x:c>
      <x:c r="D14" s="6" t="str">
        <x:v>-A102</x:v>
      </x:c>
      <x:c r="E14" s="6" t="str">
        <x:v>12</x:v>
      </x:c>
      <x:c r="F14" s="6" t="str">
        <x:v>-B120</x:v>
      </x:c>
      <x:c r="G14" s="6" t="str">
        <x:v>Gate open feedback</x:v>
      </x:c>
      <x:c r="H14" s="6" t="str">
        <x:v>FALSE</x:v>
      </x:c>
      <x:c r="I14" s="6" t="str">
        <x:v>Standard control</x:v>
      </x:c>
    </x:row>
    <x:row r="15" ht="27" customHeight="1">
      <x:c r="A15" s="6" t="str">
        <x:v>GATE_CLOSED_FB</x:v>
      </x:c>
      <x:c r="B15" s="6" t="str">
        <x:v>DI</x:v>
      </x:c>
      <x:c r="C15" s="6" t="str">
        <x:v>I1.5</x:v>
      </x:c>
      <x:c r="D15" s="6" t="str">
        <x:v>-A102</x:v>
      </x:c>
      <x:c r="E15" s="6" t="str">
        <x:v>13</x:v>
      </x:c>
      <x:c r="F15" s="6" t="str">
        <x:v>-B121</x:v>
      </x:c>
      <x:c r="G15" s="6" t="str">
        <x:v>Gate closed feedback</x:v>
      </x:c>
      <x:c r="H15" s="6" t="str">
        <x:v>FALSE</x:v>
      </x:c>
      <x:c r="I15" s="6" t="str">
        <x:v>Standard control</x:v>
      </x:c>
    </x:row>
    <x:row r="16" ht="27" customHeight="1">
      <x:c r="A16" s="6" t="str">
        <x:v>CLAMP_RELEASED_FB</x:v>
      </x:c>
      <x:c r="B16" s="6" t="str">
        <x:v>DI</x:v>
      </x:c>
      <x:c r="C16" s="6" t="str">
        <x:v>I1.6</x:v>
      </x:c>
      <x:c r="D16" s="6" t="str">
        <x:v>-A102</x:v>
      </x:c>
      <x:c r="E16" s="6" t="str">
        <x:v>14</x:v>
      </x:c>
      <x:c r="F16" s="6" t="str">
        <x:v>-B122</x:v>
      </x:c>
      <x:c r="G16" s="6" t="str">
        <x:v>Clamp released feedback</x:v>
      </x:c>
      <x:c r="H16" s="6" t="str">
        <x:v>FALSE</x:v>
      </x:c>
      <x:c r="I16" s="6" t="str">
        <x:v>Standard control</x:v>
      </x:c>
    </x:row>
    <x:row r="17" ht="27" customHeight="1">
      <x:c r="A17" s="6" t="str">
        <x:v>CLAMP_ENGAGED_FB</x:v>
      </x:c>
      <x:c r="B17" s="6" t="str">
        <x:v>DI</x:v>
      </x:c>
      <x:c r="C17" s="6" t="str">
        <x:v>I1.7</x:v>
      </x:c>
      <x:c r="D17" s="6" t="str">
        <x:v>-A102</x:v>
      </x:c>
      <x:c r="E17" s="6" t="str">
        <x:v>15</x:v>
      </x:c>
      <x:c r="F17" s="6" t="str">
        <x:v>-B123</x:v>
      </x:c>
      <x:c r="G17" s="6" t="str">
        <x:v>Clamp engaged feedback</x:v>
      </x:c>
      <x:c r="H17" s="6" t="str">
        <x:v>FALSE</x:v>
      </x:c>
      <x:c r="I17" s="6" t="str">
        <x:v>Standard control</x:v>
      </x:c>
    </x:row>
    <x:row r="18" ht="27" customHeight="1">
      <x:c r="A18" s="6" t="str">
        <x:v>FILL_VALVE_1_CLOSED_FB</x:v>
      </x:c>
      <x:c r="B18" s="6" t="str">
        <x:v>DI</x:v>
      </x:c>
      <x:c r="C18" s="6" t="str">
        <x:v>I2.0</x:v>
      </x:c>
      <x:c r="D18" s="6" t="str">
        <x:v>-A102</x:v>
      </x:c>
      <x:c r="E18" s="6" t="str">
        <x:v>16</x:v>
      </x:c>
      <x:c r="F18" s="6" t="str">
        <x:v>-B130</x:v>
      </x:c>
      <x:c r="G18" s="6" t="str">
        <x:v>Valve 1 closed proof</x:v>
      </x:c>
      <x:c r="H18" s="6" t="str">
        <x:v>FALSE</x:v>
      </x:c>
      <x:c r="I18" s="6" t="str">
        <x:v>Standard control</x:v>
      </x:c>
    </x:row>
    <x:row r="19" ht="27" customHeight="1">
      <x:c r="A19" s="6" t="str">
        <x:v>FILL_VALVE_2_CLOSED_FB</x:v>
      </x:c>
      <x:c r="B19" s="6" t="str">
        <x:v>DI</x:v>
      </x:c>
      <x:c r="C19" s="6" t="str">
        <x:v>I2.1</x:v>
      </x:c>
      <x:c r="D19" s="6" t="str">
        <x:v>-A102</x:v>
      </x:c>
      <x:c r="E19" s="6" t="str">
        <x:v>17</x:v>
      </x:c>
      <x:c r="F19" s="6" t="str">
        <x:v>-B131</x:v>
      </x:c>
      <x:c r="G19" s="6" t="str">
        <x:v>Valve 2 closed proof</x:v>
      </x:c>
      <x:c r="H19" s="6" t="str">
        <x:v>FALSE</x:v>
      </x:c>
      <x:c r="I19" s="6" t="str">
        <x:v>Standard control</x:v>
      </x:c>
    </x:row>
    <x:row r="20" ht="27" customHeight="1">
      <x:c r="A20" s="6" t="str">
        <x:v>CAPPER_READY</x:v>
      </x:c>
      <x:c r="B20" s="6" t="str">
        <x:v>DI</x:v>
      </x:c>
      <x:c r="C20" s="6" t="str">
        <x:v>I2.2</x:v>
      </x:c>
      <x:c r="D20" s="6" t="str">
        <x:v>-A102</x:v>
      </x:c>
      <x:c r="E20" s="6" t="str">
        <x:v>18</x:v>
      </x:c>
      <x:c r="F20" s="6" t="str">
        <x:v>-IF140</x:v>
      </x:c>
      <x:c r="G20" s="6" t="str">
        <x:v>Capping station ready</x:v>
      </x:c>
      <x:c r="H20" s="6" t="str">
        <x:v>FALSE</x:v>
      </x:c>
      <x:c r="I20" s="6" t="str">
        <x:v>Standard control</x:v>
      </x:c>
    </x:row>
    <x:row r="21" ht="27" customHeight="1">
      <x:c r="A21" s="6" t="str">
        <x:v>CAPPER_BUSY</x:v>
      </x:c>
      <x:c r="B21" s="6" t="str">
        <x:v>DI</x:v>
      </x:c>
      <x:c r="C21" s="6" t="str">
        <x:v>I2.3</x:v>
      </x:c>
      <x:c r="D21" s="6" t="str">
        <x:v>-A102</x:v>
      </x:c>
      <x:c r="E21" s="6" t="str">
        <x:v>19</x:v>
      </x:c>
      <x:c r="F21" s="6" t="str">
        <x:v>-IF140</x:v>
      </x:c>
      <x:c r="G21" s="6" t="str">
        <x:v>Capping station busy</x:v>
      </x:c>
      <x:c r="H21" s="6" t="str">
        <x:v>FALSE</x:v>
      </x:c>
      <x:c r="I21" s="6" t="str">
        <x:v>Standard control</x:v>
      </x:c>
    </x:row>
    <x:row r="22" ht="27" customHeight="1">
      <x:c r="A22" s="6" t="str">
        <x:v>CAPPER_COMPLETE</x:v>
      </x:c>
      <x:c r="B22" s="6" t="str">
        <x:v>DI</x:v>
      </x:c>
      <x:c r="C22" s="6" t="str">
        <x:v>I2.4</x:v>
      </x:c>
      <x:c r="D22" s="6" t="str">
        <x:v>-A102</x:v>
      </x:c>
      <x:c r="E22" s="6" t="str">
        <x:v>20</x:v>
      </x:c>
      <x:c r="F22" s="6" t="str">
        <x:v>-IF140</x:v>
      </x:c>
      <x:c r="G22" s="6" t="str">
        <x:v>Capping complete acknowledgement</x:v>
      </x:c>
      <x:c r="H22" s="6" t="str">
        <x:v>FALSE</x:v>
      </x:c>
      <x:c r="I22" s="6" t="str">
        <x:v>Standard control</x:v>
      </x:c>
    </x:row>
    <x:row r="23" ht="27" customHeight="1">
      <x:c r="A23" s="6" t="str">
        <x:v>CAPPER_FAULT</x:v>
      </x:c>
      <x:c r="B23" s="6" t="str">
        <x:v>DI</x:v>
      </x:c>
      <x:c r="C23" s="6" t="str">
        <x:v>I2.5</x:v>
      </x:c>
      <x:c r="D23" s="6" t="str">
        <x:v>-A102</x:v>
      </x:c>
      <x:c r="E23" s="6" t="str">
        <x:v>21</x:v>
      </x:c>
      <x:c r="F23" s="6" t="str">
        <x:v>-IF140</x:v>
      </x:c>
      <x:c r="G23" s="6" t="str">
        <x:v>Capping fault</x:v>
      </x:c>
      <x:c r="H23" s="6" t="str">
        <x:v>FALSE</x:v>
      </x:c>
      <x:c r="I23" s="6" t="str">
        <x:v>Standard control</x:v>
      </x:c>
    </x:row>
    <x:row r="24" ht="27" customHeight="1">
      <x:c r="A24" s="6" t="str">
        <x:v>LOCAL_RESET_PB</x:v>
      </x:c>
      <x:c r="B24" s="6" t="str">
        <x:v>DI</x:v>
      </x:c>
      <x:c r="C24" s="6" t="str">
        <x:v>I2.6</x:v>
      </x:c>
      <x:c r="D24" s="6" t="str">
        <x:v>-A102</x:v>
      </x:c>
      <x:c r="E24" s="6" t="str">
        <x:v>22</x:v>
      </x:c>
      <x:c r="F24" s="6" t="str">
        <x:v>-S100</x:v>
      </x:c>
      <x:c r="G24" s="6" t="str">
        <x:v>Local reset pushbutton</x:v>
      </x:c>
      <x:c r="H24" s="6" t="str">
        <x:v>FALSE</x:v>
      </x:c>
      <x:c r="I24" s="6" t="str">
        <x:v>Standard control</x:v>
      </x:c>
    </x:row>
    <x:row r="25" ht="27" customHeight="1">
      <x:c r="A25" s="6" t="str">
        <x:v>LOCAL_STOP_PB</x:v>
      </x:c>
      <x:c r="B25" s="6" t="str">
        <x:v>DI</x:v>
      </x:c>
      <x:c r="C25" s="6" t="str">
        <x:v>I2.7</x:v>
      </x:c>
      <x:c r="D25" s="6" t="str">
        <x:v>-A102</x:v>
      </x:c>
      <x:c r="E25" s="6" t="str">
        <x:v>23</x:v>
      </x:c>
      <x:c r="F25" s="6" t="str">
        <x:v>-S101</x:v>
      </x:c>
      <x:c r="G25" s="6" t="str">
        <x:v>Local controlled-stop pushbutton</x:v>
      </x:c>
      <x:c r="H25" s="6" t="str">
        <x:v>FALSE</x:v>
      </x:c>
      <x:c r="I25" s="6" t="str">
        <x:v>Standard control</x:v>
      </x:c>
    </x:row>
    <x:row r="26" ht="27" customHeight="1">
      <x:c r="A26" s="6" t="str">
        <x:v>DI_SPARE_01</x:v>
      </x:c>
      <x:c r="B26" s="6" t="str">
        <x:v>DI</x:v>
      </x:c>
      <x:c r="C26" s="6" t="str">
        <x:v>I3.0</x:v>
      </x:c>
      <x:c r="D26" s="6" t="str">
        <x:v>-A102</x:v>
      </x:c>
      <x:c r="E26" s="6" t="str">
        <x:v>24</x:v>
      </x:c>
      <x:c r="F26" s="6" t="str">
        <x:v>SPARE</x:v>
      </x:c>
      <x:c r="G26" s="6" t="str">
        <x:v>Allocated spare input</x:v>
      </x:c>
      <x:c r="H26" s="6" t="str">
        <x:v>FALSE</x:v>
      </x:c>
      <x:c r="I26" s="6" t="str">
        <x:v>Standard control</x:v>
      </x:c>
    </x:row>
    <x:row r="27" ht="27" customHeight="1">
      <x:c r="A27" s="6" t="str">
        <x:v>DI_SPARE_02</x:v>
      </x:c>
      <x:c r="B27" s="6" t="str">
        <x:v>DI</x:v>
      </x:c>
      <x:c r="C27" s="6" t="str">
        <x:v>I3.1</x:v>
      </x:c>
      <x:c r="D27" s="6" t="str">
        <x:v>-A102</x:v>
      </x:c>
      <x:c r="E27" s="6" t="str">
        <x:v>25</x:v>
      </x:c>
      <x:c r="F27" s="6" t="str">
        <x:v>SPARE</x:v>
      </x:c>
      <x:c r="G27" s="6" t="str">
        <x:v>Allocated spare input</x:v>
      </x:c>
      <x:c r="H27" s="6" t="str">
        <x:v>FALSE</x:v>
      </x:c>
      <x:c r="I27" s="6" t="str">
        <x:v>Standard control</x:v>
      </x:c>
    </x:row>
    <x:row r="28" ht="27" customHeight="1">
      <x:c r="A28" s="6" t="str">
        <x:v>DI_SPARE_03</x:v>
      </x:c>
      <x:c r="B28" s="6" t="str">
        <x:v>DI</x:v>
      </x:c>
      <x:c r="C28" s="6" t="str">
        <x:v>I3.2</x:v>
      </x:c>
      <x:c r="D28" s="6" t="str">
        <x:v>-A102</x:v>
      </x:c>
      <x:c r="E28" s="6" t="str">
        <x:v>26</x:v>
      </x:c>
      <x:c r="F28" s="6" t="str">
        <x:v>SPARE</x:v>
      </x:c>
      <x:c r="G28" s="6" t="str">
        <x:v>Allocated spare input</x:v>
      </x:c>
      <x:c r="H28" s="6" t="str">
        <x:v>FALSE</x:v>
      </x:c>
      <x:c r="I28" s="6" t="str">
        <x:v>Standard control</x:v>
      </x:c>
    </x:row>
    <x:row r="29" ht="27" customHeight="1">
      <x:c r="A29" s="6" t="str">
        <x:v>DI_SPARE_04</x:v>
      </x:c>
      <x:c r="B29" s="6" t="str">
        <x:v>DI</x:v>
      </x:c>
      <x:c r="C29" s="6" t="str">
        <x:v>I3.3</x:v>
      </x:c>
      <x:c r="D29" s="6" t="str">
        <x:v>-A102</x:v>
      </x:c>
      <x:c r="E29" s="6" t="str">
        <x:v>27</x:v>
      </x:c>
      <x:c r="F29" s="6" t="str">
        <x:v>SPARE</x:v>
      </x:c>
      <x:c r="G29" s="6" t="str">
        <x:v>Allocated spare input</x:v>
      </x:c>
      <x:c r="H29" s="6" t="str">
        <x:v>FALSE</x:v>
      </x:c>
      <x:c r="I29" s="6" t="str">
        <x:v>Standard control</x:v>
      </x:c>
    </x:row>
    <x:row r="30" ht="27" customHeight="1">
      <x:c r="A30" s="6" t="str">
        <x:v>DI_SPARE_05</x:v>
      </x:c>
      <x:c r="B30" s="6" t="str">
        <x:v>DI</x:v>
      </x:c>
      <x:c r="C30" s="6" t="str">
        <x:v>I3.4</x:v>
      </x:c>
      <x:c r="D30" s="6" t="str">
        <x:v>-A102</x:v>
      </x:c>
      <x:c r="E30" s="6" t="str">
        <x:v>28</x:v>
      </x:c>
      <x:c r="F30" s="6" t="str">
        <x:v>SPARE</x:v>
      </x:c>
      <x:c r="G30" s="6" t="str">
        <x:v>Allocated spare input</x:v>
      </x:c>
      <x:c r="H30" s="6" t="str">
        <x:v>FALSE</x:v>
      </x:c>
      <x:c r="I30" s="6" t="str">
        <x:v>Standard control</x:v>
      </x:c>
    </x:row>
    <x:row r="31" ht="27" customHeight="1">
      <x:c r="A31" s="6" t="str">
        <x:v>DI_SPARE_06</x:v>
      </x:c>
      <x:c r="B31" s="6" t="str">
        <x:v>DI</x:v>
      </x:c>
      <x:c r="C31" s="6" t="str">
        <x:v>I3.5</x:v>
      </x:c>
      <x:c r="D31" s="6" t="str">
        <x:v>-A102</x:v>
      </x:c>
      <x:c r="E31" s="6" t="str">
        <x:v>29</x:v>
      </x:c>
      <x:c r="F31" s="6" t="str">
        <x:v>SPARE</x:v>
      </x:c>
      <x:c r="G31" s="6" t="str">
        <x:v>Allocated spare input</x:v>
      </x:c>
      <x:c r="H31" s="6" t="str">
        <x:v>FALSE</x:v>
      </x:c>
      <x:c r="I31" s="6" t="str">
        <x:v>Standard control</x:v>
      </x:c>
    </x:row>
    <x:row r="32" ht="27" customHeight="1">
      <x:c r="A32" s="6" t="str">
        <x:v>DI_SPARE_07</x:v>
      </x:c>
      <x:c r="B32" s="6" t="str">
        <x:v>DI</x:v>
      </x:c>
      <x:c r="C32" s="6" t="str">
        <x:v>I3.6</x:v>
      </x:c>
      <x:c r="D32" s="6" t="str">
        <x:v>-A102</x:v>
      </x:c>
      <x:c r="E32" s="6" t="str">
        <x:v>30</x:v>
      </x:c>
      <x:c r="F32" s="6" t="str">
        <x:v>SPARE</x:v>
      </x:c>
      <x:c r="G32" s="6" t="str">
        <x:v>Allocated spare input</x:v>
      </x:c>
      <x:c r="H32" s="6" t="str">
        <x:v>FALSE</x:v>
      </x:c>
      <x:c r="I32" s="6" t="str">
        <x:v>Standard control</x:v>
      </x:c>
    </x:row>
    <x:row r="33" ht="27" customHeight="1">
      <x:c r="A33" s="6" t="str">
        <x:v>DI_SPARE_08</x:v>
      </x:c>
      <x:c r="B33" s="6" t="str">
        <x:v>DI</x:v>
      </x:c>
      <x:c r="C33" s="6" t="str">
        <x:v>I3.7</x:v>
      </x:c>
      <x:c r="D33" s="6" t="str">
        <x:v>-A102</x:v>
      </x:c>
      <x:c r="E33" s="6" t="str">
        <x:v>31</x:v>
      </x:c>
      <x:c r="F33" s="6" t="str">
        <x:v>SPARE</x:v>
      </x:c>
      <x:c r="G33" s="6" t="str">
        <x:v>Allocated spare input</x:v>
      </x:c>
      <x:c r="H33" s="6" t="str">
        <x:v>FALSE</x:v>
      </x:c>
      <x:c r="I33" s="6" t="str">
        <x:v>Standard control</x:v>
      </x:c>
    </x:row>
    <x:row r="34" ht="27" customHeight="1">
      <x:c r="A34" s="6" t="str">
        <x:v>DO_SPARE_DRIVE_REMOVED_01</x:v>
      </x:c>
      <x:c r="B34" s="6" t="str">
        <x:v>DO</x:v>
      </x:c>
      <x:c r="C34" s="6" t="str">
        <x:v>Q0.0</x:v>
      </x:c>
      <x:c r="D34" s="6" t="str">
        <x:v>-A103</x:v>
      </x:c>
      <x:c r="E34" s="6" t="str">
        <x:v>0</x:v>
      </x:c>
      <x:c r="F34" s="6" t="str">
        <x:v>SPARE</x:v>
      </x:c>
      <x:c r="G34" s="6" t="str">
        <x:v>Spare channel; hardwired drive run/status removed because Standard Telegram 1 PROFINET is primary</x:v>
      </x:c>
      <x:c r="H34" s="6" t="str">
        <x:v>FALSE</x:v>
      </x:c>
      <x:c r="I34" s="6" t="str">
        <x:v>Standard control</x:v>
      </x:c>
    </x:row>
    <x:row r="35" ht="27" customHeight="1">
      <x:c r="A35" s="6" t="str">
        <x:v>DO_SPARE_DRIVE_REMOVED_02</x:v>
      </x:c>
      <x:c r="B35" s="6" t="str">
        <x:v>DO</x:v>
      </x:c>
      <x:c r="C35" s="6" t="str">
        <x:v>Q0.1</x:v>
      </x:c>
      <x:c r="D35" s="6" t="str">
        <x:v>-A103</x:v>
      </x:c>
      <x:c r="E35" s="6" t="str">
        <x:v>1</x:v>
      </x:c>
      <x:c r="F35" s="6" t="str">
        <x:v>SPARE</x:v>
      </x:c>
      <x:c r="G35" s="6" t="str">
        <x:v>Spare channel; hardwired drive run/status removed because Standard Telegram 1 PROFINET is primary</x:v>
      </x:c>
      <x:c r="H35" s="6" t="str">
        <x:v>FALSE</x:v>
      </x:c>
      <x:c r="I35" s="6" t="str">
        <x:v>Standard control</x:v>
      </x:c>
    </x:row>
    <x:row r="36" ht="27" customHeight="1">
      <x:c r="A36" s="6" t="str">
        <x:v>FILL_VALVE_1_OPEN_CMD</x:v>
      </x:c>
      <x:c r="B36" s="6" t="str">
        <x:v>DO</x:v>
      </x:c>
      <x:c r="C36" s="6" t="str">
        <x:v>Q0.2</x:v>
      </x:c>
      <x:c r="D36" s="6" t="str">
        <x:v>-A103</x:v>
      </x:c>
      <x:c r="E36" s="6" t="str">
        <x:v>2</x:v>
      </x:c>
      <x:c r="F36" s="6" t="str">
        <x:v>-K202</x:v>
      </x:c>
      <x:c r="G36" s="6" t="str">
        <x:v>Valve 1 interposing relay</x:v>
      </x:c>
      <x:c r="H36" s="6" t="str">
        <x:v>FALSE</x:v>
      </x:c>
      <x:c r="I36" s="6" t="str">
        <x:v>Standard control</x:v>
      </x:c>
    </x:row>
    <x:row r="37" ht="27" customHeight="1">
      <x:c r="A37" s="6" t="str">
        <x:v>FILL_VALVE_2_OPEN_CMD</x:v>
      </x:c>
      <x:c r="B37" s="6" t="str">
        <x:v>DO</x:v>
      </x:c>
      <x:c r="C37" s="6" t="str">
        <x:v>Q0.3</x:v>
      </x:c>
      <x:c r="D37" s="6" t="str">
        <x:v>-A103</x:v>
      </x:c>
      <x:c r="E37" s="6" t="str">
        <x:v>3</x:v>
      </x:c>
      <x:c r="F37" s="6" t="str">
        <x:v>-K203</x:v>
      </x:c>
      <x:c r="G37" s="6" t="str">
        <x:v>Valve 2 interposing relay</x:v>
      </x:c>
      <x:c r="H37" s="6" t="str">
        <x:v>FALSE</x:v>
      </x:c>
      <x:c r="I37" s="6" t="str">
        <x:v>Standard control</x:v>
      </x:c>
    </x:row>
    <x:row r="38" ht="27" customHeight="1">
      <x:c r="A38" s="6" t="str">
        <x:v>GATE_OPEN_CMD</x:v>
      </x:c>
      <x:c r="B38" s="6" t="str">
        <x:v>DO</x:v>
      </x:c>
      <x:c r="C38" s="6" t="str">
        <x:v>Q0.4</x:v>
      </x:c>
      <x:c r="D38" s="6" t="str">
        <x:v>-A103</x:v>
      </x:c>
      <x:c r="E38" s="6" t="str">
        <x:v>4</x:v>
      </x:c>
      <x:c r="F38" s="6" t="str">
        <x:v>-K204</x:v>
      </x:c>
      <x:c r="G38" s="6" t="str">
        <x:v>Gate open relay</x:v>
      </x:c>
      <x:c r="H38" s="6" t="str">
        <x:v>FALSE</x:v>
      </x:c>
      <x:c r="I38" s="6" t="str">
        <x:v>Standard control</x:v>
      </x:c>
    </x:row>
    <x:row r="39" ht="27" customHeight="1">
      <x:c r="A39" s="6" t="str">
        <x:v>GATE_CLOSE_CMD</x:v>
      </x:c>
      <x:c r="B39" s="6" t="str">
        <x:v>DO</x:v>
      </x:c>
      <x:c r="C39" s="6" t="str">
        <x:v>Q0.5</x:v>
      </x:c>
      <x:c r="D39" s="6" t="str">
        <x:v>-A103</x:v>
      </x:c>
      <x:c r="E39" s="6" t="str">
        <x:v>5</x:v>
      </x:c>
      <x:c r="F39" s="6" t="str">
        <x:v>-K205</x:v>
      </x:c>
      <x:c r="G39" s="6" t="str">
        <x:v>Gate close relay</x:v>
      </x:c>
      <x:c r="H39" s="6" t="str">
        <x:v>FALSE</x:v>
      </x:c>
      <x:c r="I39" s="6" t="str">
        <x:v>Standard control</x:v>
      </x:c>
    </x:row>
    <x:row r="40" ht="27" customHeight="1">
      <x:c r="A40" s="6" t="str">
        <x:v>CLAMP_ENGAGE_CMD</x:v>
      </x:c>
      <x:c r="B40" s="6" t="str">
        <x:v>DO</x:v>
      </x:c>
      <x:c r="C40" s="6" t="str">
        <x:v>Q0.6</x:v>
      </x:c>
      <x:c r="D40" s="6" t="str">
        <x:v>-A103</x:v>
      </x:c>
      <x:c r="E40" s="6" t="str">
        <x:v>6</x:v>
      </x:c>
      <x:c r="F40" s="6" t="str">
        <x:v>-K206</x:v>
      </x:c>
      <x:c r="G40" s="6" t="str">
        <x:v>Clamp engage relay</x:v>
      </x:c>
      <x:c r="H40" s="6" t="str">
        <x:v>FALSE</x:v>
      </x:c>
      <x:c r="I40" s="6" t="str">
        <x:v>Standard control</x:v>
      </x:c>
    </x:row>
    <x:row r="41" ht="27" customHeight="1">
      <x:c r="A41" s="6" t="str">
        <x:v>CLAMP_RELEASE_CMD</x:v>
      </x:c>
      <x:c r="B41" s="6" t="str">
        <x:v>DO</x:v>
      </x:c>
      <x:c r="C41" s="6" t="str">
        <x:v>Q0.7</x:v>
      </x:c>
      <x:c r="D41" s="6" t="str">
        <x:v>-A103</x:v>
      </x:c>
      <x:c r="E41" s="6" t="str">
        <x:v>7</x:v>
      </x:c>
      <x:c r="F41" s="6" t="str">
        <x:v>-K207</x:v>
      </x:c>
      <x:c r="G41" s="6" t="str">
        <x:v>Clamp release relay</x:v>
      </x:c>
      <x:c r="H41" s="6" t="str">
        <x:v>FALSE</x:v>
      </x:c>
      <x:c r="I41" s="6" t="str">
        <x:v>Standard control</x:v>
      </x:c>
    </x:row>
    <x:row r="42" ht="27" customHeight="1">
      <x:c r="A42" s="6" t="str">
        <x:v>CAPPER_REQUEST</x:v>
      </x:c>
      <x:c r="B42" s="6" t="str">
        <x:v>DO</x:v>
      </x:c>
      <x:c r="C42" s="6" t="str">
        <x:v>Q1.0</x:v>
      </x:c>
      <x:c r="D42" s="6" t="str">
        <x:v>-A103</x:v>
      </x:c>
      <x:c r="E42" s="6" t="str">
        <x:v>8</x:v>
      </x:c>
      <x:c r="F42" s="6" t="str">
        <x:v>-K208</x:v>
      </x:c>
      <x:c r="G42" s="6" t="str">
        <x:v>Capping request relay</x:v>
      </x:c>
      <x:c r="H42" s="6" t="str">
        <x:v>FALSE</x:v>
      </x:c>
      <x:c r="I42" s="6" t="str">
        <x:v>Standard control</x:v>
      </x:c>
    </x:row>
    <x:row r="43" ht="27" customHeight="1">
      <x:c r="A43" s="6" t="str">
        <x:v>STACK_GREEN</x:v>
      </x:c>
      <x:c r="B43" s="6" t="str">
        <x:v>DO</x:v>
      </x:c>
      <x:c r="C43" s="6" t="str">
        <x:v>Q1.1</x:v>
      </x:c>
      <x:c r="D43" s="6" t="str">
        <x:v>-A103</x:v>
      </x:c>
      <x:c r="E43" s="6" t="str">
        <x:v>9</x:v>
      </x:c>
      <x:c r="F43" s="6" t="str">
        <x:v>-K209</x:v>
      </x:c>
      <x:c r="G43" s="6" t="str">
        <x:v>Green beacon relay</x:v>
      </x:c>
      <x:c r="H43" s="6" t="str">
        <x:v>FALSE</x:v>
      </x:c>
      <x:c r="I43" s="6" t="str">
        <x:v>Standard control</x:v>
      </x:c>
    </x:row>
    <x:row r="44" ht="27" customHeight="1">
      <x:c r="A44" s="6" t="str">
        <x:v>STACK_AMBER</x:v>
      </x:c>
      <x:c r="B44" s="6" t="str">
        <x:v>DO</x:v>
      </x:c>
      <x:c r="C44" s="6" t="str">
        <x:v>Q1.2</x:v>
      </x:c>
      <x:c r="D44" s="6" t="str">
        <x:v>-A103</x:v>
      </x:c>
      <x:c r="E44" s="6" t="str">
        <x:v>10</x:v>
      </x:c>
      <x:c r="F44" s="6" t="str">
        <x:v>-K210</x:v>
      </x:c>
      <x:c r="G44" s="6" t="str">
        <x:v>Amber beacon relay</x:v>
      </x:c>
      <x:c r="H44" s="6" t="str">
        <x:v>FALSE</x:v>
      </x:c>
      <x:c r="I44" s="6" t="str">
        <x:v>Standard control</x:v>
      </x:c>
    </x:row>
    <x:row r="45" ht="27" customHeight="1">
      <x:c r="A45" s="6" t="str">
        <x:v>STACK_RED</x:v>
      </x:c>
      <x:c r="B45" s="6" t="str">
        <x:v>DO</x:v>
      </x:c>
      <x:c r="C45" s="6" t="str">
        <x:v>Q1.3</x:v>
      </x:c>
      <x:c r="D45" s="6" t="str">
        <x:v>-A103</x:v>
      </x:c>
      <x:c r="E45" s="6" t="str">
        <x:v>11</x:v>
      </x:c>
      <x:c r="F45" s="6" t="str">
        <x:v>-K211</x:v>
      </x:c>
      <x:c r="G45" s="6" t="str">
        <x:v>Red beacon relay</x:v>
      </x:c>
      <x:c r="H45" s="6" t="str">
        <x:v>FALSE</x:v>
      </x:c>
      <x:c r="I45" s="6" t="str">
        <x:v>Standard control</x:v>
      </x:c>
    </x:row>
    <x:row r="46" ht="27" customHeight="1">
      <x:c r="A46" s="6" t="str">
        <x:v>AUDIBLE_ALARM</x:v>
      </x:c>
      <x:c r="B46" s="6" t="str">
        <x:v>DO</x:v>
      </x:c>
      <x:c r="C46" s="6" t="str">
        <x:v>Q1.4</x:v>
      </x:c>
      <x:c r="D46" s="6" t="str">
        <x:v>-A103</x:v>
      </x:c>
      <x:c r="E46" s="6" t="str">
        <x:v>12</x:v>
      </x:c>
      <x:c r="F46" s="6" t="str">
        <x:v>-K212</x:v>
      </x:c>
      <x:c r="G46" s="6" t="str">
        <x:v>Sounder relay</x:v>
      </x:c>
      <x:c r="H46" s="6" t="str">
        <x:v>FALSE</x:v>
      </x:c>
      <x:c r="I46" s="6" t="str">
        <x:v>Standard control</x:v>
      </x:c>
    </x:row>
    <x:row r="47" ht="27" customHeight="1">
      <x:c r="A47" s="6" t="str">
        <x:v>CAMERA_LIGHT_ENABLE</x:v>
      </x:c>
      <x:c r="B47" s="6" t="str">
        <x:v>DO</x:v>
      </x:c>
      <x:c r="C47" s="6" t="str">
        <x:v>Q1.5</x:v>
      </x:c>
      <x:c r="D47" s="6" t="str">
        <x:v>-A103</x:v>
      </x:c>
      <x:c r="E47" s="6" t="str">
        <x:v>13</x:v>
      </x:c>
      <x:c r="F47" s="6" t="str">
        <x:v>-K213</x:v>
      </x:c>
      <x:c r="G47" s="6" t="str">
        <x:v>Vision lighting relay</x:v>
      </x:c>
      <x:c r="H47" s="6" t="str">
        <x:v>FALSE</x:v>
      </x:c>
      <x:c r="I47" s="6" t="str">
        <x:v>Standard control</x:v>
      </x:c>
    </x:row>
    <x:row r="48" ht="27" customHeight="1">
      <x:c r="A48" s="6" t="str">
        <x:v>DO_SPARE_01</x:v>
      </x:c>
      <x:c r="B48" s="6" t="str">
        <x:v>DO</x:v>
      </x:c>
      <x:c r="C48" s="6" t="str">
        <x:v>Q1.6</x:v>
      </x:c>
      <x:c r="D48" s="6" t="str">
        <x:v>-A103</x:v>
      </x:c>
      <x:c r="E48" s="6" t="str">
        <x:v>14</x:v>
      </x:c>
      <x:c r="F48" s="6" t="str">
        <x:v>SPARE</x:v>
      </x:c>
      <x:c r="G48" s="6" t="str">
        <x:v>Allocated spare output</x:v>
      </x:c>
      <x:c r="H48" s="6" t="str">
        <x:v>FALSE</x:v>
      </x:c>
      <x:c r="I48" s="6" t="str">
        <x:v>Standard control</x:v>
      </x:c>
    </x:row>
    <x:row r="49" ht="27" customHeight="1">
      <x:c r="A49" s="6" t="str">
        <x:v>DO_SPARE_02</x:v>
      </x:c>
      <x:c r="B49" s="6" t="str">
        <x:v>DO</x:v>
      </x:c>
      <x:c r="C49" s="6" t="str">
        <x:v>Q1.7</x:v>
      </x:c>
      <x:c r="D49" s="6" t="str">
        <x:v>-A103</x:v>
      </x:c>
      <x:c r="E49" s="6" t="str">
        <x:v>15</x:v>
      </x:c>
      <x:c r="F49" s="6" t="str">
        <x:v>SPARE</x:v>
      </x:c>
      <x:c r="G49" s="6" t="str">
        <x:v>Allocated spare output</x:v>
      </x:c>
      <x:c r="H49" s="6" t="str">
        <x:v>FALSE</x:v>
      </x:c>
      <x:c r="I49" s="6" t="str">
        <x:v>Standard control</x:v>
      </x:c>
    </x:row>
    <x:row r="50" ht="27" customHeight="1">
      <x:c r="A50" s="6" t="str">
        <x:v>DO_SPARE_03</x:v>
      </x:c>
      <x:c r="B50" s="6" t="str">
        <x:v>DO</x:v>
      </x:c>
      <x:c r="C50" s="6" t="str">
        <x:v>Q2.0</x:v>
      </x:c>
      <x:c r="D50" s="6" t="str">
        <x:v>-A103</x:v>
      </x:c>
      <x:c r="E50" s="6" t="str">
        <x:v>16</x:v>
      </x:c>
      <x:c r="F50" s="6" t="str">
        <x:v>SPARE</x:v>
      </x:c>
      <x:c r="G50" s="6" t="str">
        <x:v>Allocated spare output</x:v>
      </x:c>
      <x:c r="H50" s="6" t="str">
        <x:v>FALSE</x:v>
      </x:c>
      <x:c r="I50" s="6" t="str">
        <x:v>Standard control</x:v>
      </x:c>
    </x:row>
    <x:row r="51" ht="27" customHeight="1">
      <x:c r="A51" s="6" t="str">
        <x:v>DO_SPARE_04</x:v>
      </x:c>
      <x:c r="B51" s="6" t="str">
        <x:v>DO</x:v>
      </x:c>
      <x:c r="C51" s="6" t="str">
        <x:v>Q2.1</x:v>
      </x:c>
      <x:c r="D51" s="6" t="str">
        <x:v>-A103</x:v>
      </x:c>
      <x:c r="E51" s="6" t="str">
        <x:v>17</x:v>
      </x:c>
      <x:c r="F51" s="6" t="str">
        <x:v>SPARE</x:v>
      </x:c>
      <x:c r="G51" s="6" t="str">
        <x:v>Allocated spare output</x:v>
      </x:c>
      <x:c r="H51" s="6" t="str">
        <x:v>FALSE</x:v>
      </x:c>
      <x:c r="I51" s="6" t="str">
        <x:v>Standard control</x:v>
      </x:c>
    </x:row>
    <x:row r="52" ht="27" customHeight="1">
      <x:c r="A52" s="6" t="str">
        <x:v>DO_SPARE_05</x:v>
      </x:c>
      <x:c r="B52" s="6" t="str">
        <x:v>DO</x:v>
      </x:c>
      <x:c r="C52" s="6" t="str">
        <x:v>Q2.2</x:v>
      </x:c>
      <x:c r="D52" s="6" t="str">
        <x:v>-A103</x:v>
      </x:c>
      <x:c r="E52" s="6" t="str">
        <x:v>18</x:v>
      </x:c>
      <x:c r="F52" s="6" t="str">
        <x:v>SPARE</x:v>
      </x:c>
      <x:c r="G52" s="6" t="str">
        <x:v>Allocated spare output</x:v>
      </x:c>
      <x:c r="H52" s="6" t="str">
        <x:v>FALSE</x:v>
      </x:c>
      <x:c r="I52" s="6" t="str">
        <x:v>Standard control</x:v>
      </x:c>
    </x:row>
    <x:row r="53" ht="27" customHeight="1">
      <x:c r="A53" s="6" t="str">
        <x:v>DO_SPARE_06</x:v>
      </x:c>
      <x:c r="B53" s="6" t="str">
        <x:v>DO</x:v>
      </x:c>
      <x:c r="C53" s="6" t="str">
        <x:v>Q2.3</x:v>
      </x:c>
      <x:c r="D53" s="6" t="str">
        <x:v>-A103</x:v>
      </x:c>
      <x:c r="E53" s="6" t="str">
        <x:v>19</x:v>
      </x:c>
      <x:c r="F53" s="6" t="str">
        <x:v>SPARE</x:v>
      </x:c>
      <x:c r="G53" s="6" t="str">
        <x:v>Allocated spare output</x:v>
      </x:c>
      <x:c r="H53" s="6" t="str">
        <x:v>FALSE</x:v>
      </x:c>
      <x:c r="I53" s="6" t="str">
        <x:v>Standard control</x:v>
      </x:c>
    </x:row>
    <x:row r="54" ht="27" customHeight="1">
      <x:c r="A54" s="6" t="str">
        <x:v>DO_SPARE_07</x:v>
      </x:c>
      <x:c r="B54" s="6" t="str">
        <x:v>DO</x:v>
      </x:c>
      <x:c r="C54" s="6" t="str">
        <x:v>Q2.4</x:v>
      </x:c>
      <x:c r="D54" s="6" t="str">
        <x:v>-A103</x:v>
      </x:c>
      <x:c r="E54" s="6" t="str">
        <x:v>20</x:v>
      </x:c>
      <x:c r="F54" s="6" t="str">
        <x:v>SPARE</x:v>
      </x:c>
      <x:c r="G54" s="6" t="str">
        <x:v>Allocated spare output</x:v>
      </x:c>
      <x:c r="H54" s="6" t="str">
        <x:v>FALSE</x:v>
      </x:c>
      <x:c r="I54" s="6" t="str">
        <x:v>Standard control</x:v>
      </x:c>
    </x:row>
    <x:row r="55" ht="27" customHeight="1">
      <x:c r="A55" s="6" t="str">
        <x:v>DO_SPARE_08</x:v>
      </x:c>
      <x:c r="B55" s="6" t="str">
        <x:v>DO</x:v>
      </x:c>
      <x:c r="C55" s="6" t="str">
        <x:v>Q2.5</x:v>
      </x:c>
      <x:c r="D55" s="6" t="str">
        <x:v>-A103</x:v>
      </x:c>
      <x:c r="E55" s="6" t="str">
        <x:v>21</x:v>
      </x:c>
      <x:c r="F55" s="6" t="str">
        <x:v>SPARE</x:v>
      </x:c>
      <x:c r="G55" s="6" t="str">
        <x:v>Allocated spare output</x:v>
      </x:c>
      <x:c r="H55" s="6" t="str">
        <x:v>FALSE</x:v>
      </x:c>
      <x:c r="I55" s="6" t="str">
        <x:v>Standard control</x:v>
      </x:c>
    </x:row>
    <x:row r="56" ht="27" customHeight="1">
      <x:c r="A56" s="6" t="str">
        <x:v>DO_SPARE_09</x:v>
      </x:c>
      <x:c r="B56" s="6" t="str">
        <x:v>DO</x:v>
      </x:c>
      <x:c r="C56" s="6" t="str">
        <x:v>Q2.6</x:v>
      </x:c>
      <x:c r="D56" s="6" t="str">
        <x:v>-A103</x:v>
      </x:c>
      <x:c r="E56" s="6" t="str">
        <x:v>22</x:v>
      </x:c>
      <x:c r="F56" s="6" t="str">
        <x:v>SPARE</x:v>
      </x:c>
      <x:c r="G56" s="6" t="str">
        <x:v>Allocated spare output</x:v>
      </x:c>
      <x:c r="H56" s="6" t="str">
        <x:v>FALSE</x:v>
      </x:c>
      <x:c r="I56" s="6" t="str">
        <x:v>Standard control</x:v>
      </x:c>
    </x:row>
    <x:row r="57" ht="27" customHeight="1">
      <x:c r="A57" s="6" t="str">
        <x:v>DO_SPARE_10</x:v>
      </x:c>
      <x:c r="B57" s="6" t="str">
        <x:v>DO</x:v>
      </x:c>
      <x:c r="C57" s="6" t="str">
        <x:v>Q2.7</x:v>
      </x:c>
      <x:c r="D57" s="6" t="str">
        <x:v>-A103</x:v>
      </x:c>
      <x:c r="E57" s="6" t="str">
        <x:v>23</x:v>
      </x:c>
      <x:c r="F57" s="6" t="str">
        <x:v>SPARE</x:v>
      </x:c>
      <x:c r="G57" s="6" t="str">
        <x:v>Allocated spare output</x:v>
      </x:c>
      <x:c r="H57" s="6" t="str">
        <x:v>FALSE</x:v>
      </x:c>
      <x:c r="I57" s="6" t="str">
        <x:v>Standard control</x:v>
      </x:c>
    </x:row>
    <x:row r="58" ht="27" customHeight="1">
      <x:c r="A58" s="6" t="str">
        <x:v>DO_SPARE_11</x:v>
      </x:c>
      <x:c r="B58" s="6" t="str">
        <x:v>DO</x:v>
      </x:c>
      <x:c r="C58" s="6" t="str">
        <x:v>Q3.0</x:v>
      </x:c>
      <x:c r="D58" s="6" t="str">
        <x:v>-A103</x:v>
      </x:c>
      <x:c r="E58" s="6" t="str">
        <x:v>24</x:v>
      </x:c>
      <x:c r="F58" s="6" t="str">
        <x:v>SPARE</x:v>
      </x:c>
      <x:c r="G58" s="6" t="str">
        <x:v>Allocated spare output</x:v>
      </x:c>
      <x:c r="H58" s="6" t="str">
        <x:v>FALSE</x:v>
      </x:c>
      <x:c r="I58" s="6" t="str">
        <x:v>Standard control</x:v>
      </x:c>
    </x:row>
    <x:row r="59" ht="27" customHeight="1">
      <x:c r="A59" s="6" t="str">
        <x:v>DO_SPARE_12</x:v>
      </x:c>
      <x:c r="B59" s="6" t="str">
        <x:v>DO</x:v>
      </x:c>
      <x:c r="C59" s="6" t="str">
        <x:v>Q3.1</x:v>
      </x:c>
      <x:c r="D59" s="6" t="str">
        <x:v>-A103</x:v>
      </x:c>
      <x:c r="E59" s="6" t="str">
        <x:v>25</x:v>
      </x:c>
      <x:c r="F59" s="6" t="str">
        <x:v>SPARE</x:v>
      </x:c>
      <x:c r="G59" s="6" t="str">
        <x:v>Allocated spare output</x:v>
      </x:c>
      <x:c r="H59" s="6" t="str">
        <x:v>FALSE</x:v>
      </x:c>
      <x:c r="I59" s="6" t="str">
        <x:v>Standard control</x:v>
      </x:c>
    </x:row>
    <x:row r="60" ht="27" customHeight="1">
      <x:c r="A60" s="6" t="str">
        <x:v>DO_SPARE_13</x:v>
      </x:c>
      <x:c r="B60" s="6" t="str">
        <x:v>DO</x:v>
      </x:c>
      <x:c r="C60" s="6" t="str">
        <x:v>Q3.2</x:v>
      </x:c>
      <x:c r="D60" s="6" t="str">
        <x:v>-A103</x:v>
      </x:c>
      <x:c r="E60" s="6" t="str">
        <x:v>26</x:v>
      </x:c>
      <x:c r="F60" s="6" t="str">
        <x:v>SPARE</x:v>
      </x:c>
      <x:c r="G60" s="6" t="str">
        <x:v>Allocated spare output</x:v>
      </x:c>
      <x:c r="H60" s="6" t="str">
        <x:v>FALSE</x:v>
      </x:c>
      <x:c r="I60" s="6" t="str">
        <x:v>Standard control</x:v>
      </x:c>
    </x:row>
    <x:row r="61" ht="27" customHeight="1">
      <x:c r="A61" s="6" t="str">
        <x:v>DO_SPARE_14</x:v>
      </x:c>
      <x:c r="B61" s="6" t="str">
        <x:v>DO</x:v>
      </x:c>
      <x:c r="C61" s="6" t="str">
        <x:v>Q3.3</x:v>
      </x:c>
      <x:c r="D61" s="6" t="str">
        <x:v>-A103</x:v>
      </x:c>
      <x:c r="E61" s="6" t="str">
        <x:v>27</x:v>
      </x:c>
      <x:c r="F61" s="6" t="str">
        <x:v>SPARE</x:v>
      </x:c>
      <x:c r="G61" s="6" t="str">
        <x:v>Allocated spare output</x:v>
      </x:c>
      <x:c r="H61" s="6" t="str">
        <x:v>FALSE</x:v>
      </x:c>
      <x:c r="I61" s="6" t="str">
        <x:v>Standard control</x:v>
      </x:c>
    </x:row>
    <x:row r="62" ht="27" customHeight="1">
      <x:c r="A62" s="6" t="str">
        <x:v>DO_SPARE_15</x:v>
      </x:c>
      <x:c r="B62" s="6" t="str">
        <x:v>DO</x:v>
      </x:c>
      <x:c r="C62" s="6" t="str">
        <x:v>Q3.4</x:v>
      </x:c>
      <x:c r="D62" s="6" t="str">
        <x:v>-A103</x:v>
      </x:c>
      <x:c r="E62" s="6" t="str">
        <x:v>28</x:v>
      </x:c>
      <x:c r="F62" s="6" t="str">
        <x:v>SPARE</x:v>
      </x:c>
      <x:c r="G62" s="6" t="str">
        <x:v>Allocated spare output</x:v>
      </x:c>
      <x:c r="H62" s="6" t="str">
        <x:v>FALSE</x:v>
      </x:c>
      <x:c r="I62" s="6" t="str">
        <x:v>Standard control</x:v>
      </x:c>
    </x:row>
    <x:row r="63" ht="27" customHeight="1">
      <x:c r="A63" s="6" t="str">
        <x:v>DO_SPARE_16</x:v>
      </x:c>
      <x:c r="B63" s="6" t="str">
        <x:v>DO</x:v>
      </x:c>
      <x:c r="C63" s="6" t="str">
        <x:v>Q3.5</x:v>
      </x:c>
      <x:c r="D63" s="6" t="str">
        <x:v>-A103</x:v>
      </x:c>
      <x:c r="E63" s="6" t="str">
        <x:v>29</x:v>
      </x:c>
      <x:c r="F63" s="6" t="str">
        <x:v>SPARE</x:v>
      </x:c>
      <x:c r="G63" s="6" t="str">
        <x:v>Allocated spare output</x:v>
      </x:c>
      <x:c r="H63" s="6" t="str">
        <x:v>FALSE</x:v>
      </x:c>
      <x:c r="I63" s="6" t="str">
        <x:v>Standard control</x:v>
      </x:c>
    </x:row>
    <x:row r="64" ht="27" customHeight="1">
      <x:c r="A64" s="6" t="str">
        <x:v>DO_SPARE_17</x:v>
      </x:c>
      <x:c r="B64" s="6" t="str">
        <x:v>DO</x:v>
      </x:c>
      <x:c r="C64" s="6" t="str">
        <x:v>Q3.6</x:v>
      </x:c>
      <x:c r="D64" s="6" t="str">
        <x:v>-A103</x:v>
      </x:c>
      <x:c r="E64" s="6" t="str">
        <x:v>30</x:v>
      </x:c>
      <x:c r="F64" s="6" t="str">
        <x:v>SPARE</x:v>
      </x:c>
      <x:c r="G64" s="6" t="str">
        <x:v>Allocated spare output</x:v>
      </x:c>
      <x:c r="H64" s="6" t="str">
        <x:v>FALSE</x:v>
      </x:c>
      <x:c r="I64" s="6" t="str">
        <x:v>Standard control</x:v>
      </x:c>
    </x:row>
    <x:row r="65" ht="27" customHeight="1">
      <x:c r="A65" s="6" t="str">
        <x:v>DO_SPARE_18</x:v>
      </x:c>
      <x:c r="B65" s="6" t="str">
        <x:v>DO</x:v>
      </x:c>
      <x:c r="C65" s="6" t="str">
        <x:v>Q3.7</x:v>
      </x:c>
      <x:c r="D65" s="6" t="str">
        <x:v>-A103</x:v>
      </x:c>
      <x:c r="E65" s="6" t="str">
        <x:v>31</x:v>
      </x:c>
      <x:c r="F65" s="6" t="str">
        <x:v>SPARE</x:v>
      </x:c>
      <x:c r="G65" s="6" t="str">
        <x:v>Allocated spare output</x:v>
      </x:c>
      <x:c r="H65" s="6" t="str">
        <x:v>FALSE</x:v>
      </x:c>
      <x:c r="I65" s="6" t="str">
        <x:v>Standard control</x:v>
      </x:c>
    </x:row>
    <x:row r="66" ht="27" customHeight="1">
      <x:c r="A66" s="6" t="str">
        <x:v>FLOW_1_MA_RAW</x:v>
      </x:c>
      <x:c r="B66" s="6" t="str">
        <x:v>AI</x:v>
      </x:c>
      <x:c r="C66" s="6" t="str">
        <x:v>IW64</x:v>
      </x:c>
      <x:c r="D66" s="6" t="str">
        <x:v>-A104</x:v>
      </x:c>
      <x:c r="E66" s="6" t="str">
        <x:v>0</x:v>
      </x:c>
      <x:c r="F66" s="6" t="str">
        <x:v>-FT100</x:v>
      </x:c>
      <x:c r="G66" s="6" t="str">
        <x:v>Flow channel 1 instantaneous 4–20 mA</x:v>
      </x:c>
      <x:c r="H66" s="6" t="str">
        <x:v>0</x:v>
      </x:c>
      <x:c r="I66" s="6" t="str">
        <x:v>Standard control</x:v>
      </x:c>
    </x:row>
    <x:row r="67" ht="27" customHeight="1">
      <x:c r="A67" s="6" t="str">
        <x:v>FLOW_2_MA_RAW</x:v>
      </x:c>
      <x:c r="B67" s="6" t="str">
        <x:v>AI</x:v>
      </x:c>
      <x:c r="C67" s="6" t="str">
        <x:v>IW66</x:v>
      </x:c>
      <x:c r="D67" s="6" t="str">
        <x:v>-A104</x:v>
      </x:c>
      <x:c r="E67" s="6" t="str">
        <x:v>1</x:v>
      </x:c>
      <x:c r="F67" s="6" t="str">
        <x:v>-FT101</x:v>
      </x:c>
      <x:c r="G67" s="6" t="str">
        <x:v>Flow channel 2 instantaneous 4–20 mA</x:v>
      </x:c>
      <x:c r="H67" s="6" t="str">
        <x:v>0</x:v>
      </x:c>
      <x:c r="I67" s="6" t="str">
        <x:v>Standard control</x:v>
      </x:c>
    </x:row>
    <x:row r="68" ht="27" customHeight="1">
      <x:c r="A68" s="6" t="str">
        <x:v>AI_SPARE_01</x:v>
      </x:c>
      <x:c r="B68" s="6" t="str">
        <x:v>AI</x:v>
      </x:c>
      <x:c r="C68" s="6" t="str">
        <x:v>IW68</x:v>
      </x:c>
      <x:c r="D68" s="6" t="str">
        <x:v>-A104</x:v>
      </x:c>
      <x:c r="E68" s="6" t="str">
        <x:v>2</x:v>
      </x:c>
      <x:c r="F68" s="6" t="str">
        <x:v>SPARE</x:v>
      </x:c>
      <x:c r="G68" s="6" t="str">
        <x:v>Allocated spare analog input</x:v>
      </x:c>
      <x:c r="H68" s="6" t="str">
        <x:v>0</x:v>
      </x:c>
      <x:c r="I68" s="6" t="str">
        <x:v>Standard control</x:v>
      </x:c>
    </x:row>
    <x:row r="69" ht="27" customHeight="1">
      <x:c r="A69" s="6" t="str">
        <x:v>AI_SPARE_02</x:v>
      </x:c>
      <x:c r="B69" s="6" t="str">
        <x:v>AI</x:v>
      </x:c>
      <x:c r="C69" s="6" t="str">
        <x:v>IW70</x:v>
      </x:c>
      <x:c r="D69" s="6" t="str">
        <x:v>-A104</x:v>
      </x:c>
      <x:c r="E69" s="6" t="str">
        <x:v>3</x:v>
      </x:c>
      <x:c r="F69" s="6" t="str">
        <x:v>SPARE</x:v>
      </x:c>
      <x:c r="G69" s="6" t="str">
        <x:v>Allocated spare analog input</x:v>
      </x:c>
      <x:c r="H69" s="6" t="str">
        <x:v>0</x:v>
      </x:c>
      <x:c r="I69" s="6" t="str">
        <x:v>Standard control</x:v>
      </x:c>
    </x:row>
    <x:row r="70" ht="27" customHeight="1">
      <x:c r="A70" s="6" t="str">
        <x:v>AI_SPARE_03</x:v>
      </x:c>
      <x:c r="B70" s="6" t="str">
        <x:v>AI</x:v>
      </x:c>
      <x:c r="C70" s="6" t="str">
        <x:v>IW72</x:v>
      </x:c>
      <x:c r="D70" s="6" t="str">
        <x:v>-A104</x:v>
      </x:c>
      <x:c r="E70" s="6" t="str">
        <x:v>4</x:v>
      </x:c>
      <x:c r="F70" s="6" t="str">
        <x:v>SPARE</x:v>
      </x:c>
      <x:c r="G70" s="6" t="str">
        <x:v>Allocated spare analog input</x:v>
      </x:c>
      <x:c r="H70" s="6" t="str">
        <x:v>0</x:v>
      </x:c>
      <x:c r="I70" s="6" t="str">
        <x:v>Standard control</x:v>
      </x:c>
    </x:row>
    <x:row r="71" ht="27" customHeight="1">
      <x:c r="A71" s="6" t="str">
        <x:v>AI_SPARE_04</x:v>
      </x:c>
      <x:c r="B71" s="6" t="str">
        <x:v>AI</x:v>
      </x:c>
      <x:c r="C71" s="6" t="str">
        <x:v>IW74</x:v>
      </x:c>
      <x:c r="D71" s="6" t="str">
        <x:v>-A104</x:v>
      </x:c>
      <x:c r="E71" s="6" t="str">
        <x:v>5</x:v>
      </x:c>
      <x:c r="F71" s="6" t="str">
        <x:v>SPARE</x:v>
      </x:c>
      <x:c r="G71" s="6" t="str">
        <x:v>Allocated spare analog input</x:v>
      </x:c>
      <x:c r="H71" s="6" t="str">
        <x:v>0</x:v>
      </x:c>
      <x:c r="I71" s="6" t="str">
        <x:v>Standard control</x:v>
      </x:c>
    </x:row>
    <x:row r="72" ht="27" customHeight="1">
      <x:c r="A72" s="6" t="str">
        <x:v>AI_SPARE_05</x:v>
      </x:c>
      <x:c r="B72" s="6" t="str">
        <x:v>AI</x:v>
      </x:c>
      <x:c r="C72" s="6" t="str">
        <x:v>IW76</x:v>
      </x:c>
      <x:c r="D72" s="6" t="str">
        <x:v>-A104</x:v>
      </x:c>
      <x:c r="E72" s="6" t="str">
        <x:v>6</x:v>
      </x:c>
      <x:c r="F72" s="6" t="str">
        <x:v>SPARE</x:v>
      </x:c>
      <x:c r="G72" s="6" t="str">
        <x:v>Allocated spare analog input</x:v>
      </x:c>
      <x:c r="H72" s="6" t="str">
        <x:v>0</x:v>
      </x:c>
      <x:c r="I72" s="6" t="str">
        <x:v>Standard control</x:v>
      </x:c>
    </x:row>
    <x:row r="73" ht="27" customHeight="1">
      <x:c r="A73" s="6" t="str">
        <x:v>AI_SPARE_06</x:v>
      </x:c>
      <x:c r="B73" s="6" t="str">
        <x:v>AI</x:v>
      </x:c>
      <x:c r="C73" s="6" t="str">
        <x:v>IW78</x:v>
      </x:c>
      <x:c r="D73" s="6" t="str">
        <x:v>-A104</x:v>
      </x:c>
      <x:c r="E73" s="6" t="str">
        <x:v>7</x:v>
      </x:c>
      <x:c r="F73" s="6" t="str">
        <x:v>SPARE</x:v>
      </x:c>
      <x:c r="G73" s="6" t="str">
        <x:v>Allocated spare analog input</x:v>
      </x:c>
      <x:c r="H73" s="6" t="str">
        <x:v>0</x:v>
      </x:c>
      <x:c r="I73" s="6" t="str">
        <x:v>Standard control</x:v>
      </x:c>
    </x:row>
    <x:row r="74" ht="27" customHeight="1">
      <x:c r="A74" s="6" t="str">
        <x:v>FLOW_1_PULSE</x:v>
      </x:c>
      <x:c r="B74" s="6" t="str">
        <x:v>HSC</x:v>
      </x:c>
      <x:c r="C74" s="6" t="str">
        <x:v>TM1.CH0.A</x:v>
      </x:c>
      <x:c r="D74" s="6" t="str">
        <x:v>-A101</x:v>
      </x:c>
      <x:c r="E74" s="6" t="str">
        <x:v>CH0 A</x:v>
      </x:c>
      <x:c r="F74" s="6" t="str">
        <x:v>-FT100</x:v>
      </x:c>
      <x:c r="G74" s="6" t="str">
        <x:v>24 V pulse input channel 1</x:v>
      </x:c>
      <x:c r="H74" s="6" t="str">
        <x:v>0</x:v>
      </x:c>
      <x:c r="I74" s="6" t="str">
        <x:v>Standard control</x:v>
      </x:c>
    </x:row>
    <x:row r="75" ht="27" customHeight="1">
      <x:c r="A75" s="6" t="str">
        <x:v>FLOW_2_PULSE</x:v>
      </x:c>
      <x:c r="B75" s="6" t="str">
        <x:v>HSC</x:v>
      </x:c>
      <x:c r="C75" s="6" t="str">
        <x:v>TM1.CH1.A</x:v>
      </x:c>
      <x:c r="D75" s="6" t="str">
        <x:v>-A101</x:v>
      </x:c>
      <x:c r="E75" s="6" t="str">
        <x:v>CH1 A</x:v>
      </x:c>
      <x:c r="F75" s="6" t="str">
        <x:v>-FT101</x:v>
      </x:c>
      <x:c r="G75" s="6" t="str">
        <x:v>24 V pulse input channel 2</x:v>
      </x:c>
      <x:c r="H75" s="6" t="str">
        <x:v>0</x:v>
      </x:c>
      <x:c r="I75" s="6" t="str">
        <x:v>Standard control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22.5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22.5" hidden="0" customWidth="1"/>
  </x:cols>
  <x:sheetData>
    <x:row r="1" ht="31.5" customHeight="1">
      <x:c r="A1" s="12" t="str">
        <x:v>drive</x:v>
      </x:c>
      <x:c r="B1" s="12" t="str">
        <x:v>name</x:v>
      </x:c>
      <x:c r="C1" s="12" t="str">
        <x:v>telegram</x:v>
      </x:c>
      <x:c r="D1" s="12" t="str">
        <x:v>direction</x:v>
      </x:c>
      <x:c r="E1" s="12" t="str">
        <x:v>pzd</x:v>
      </x:c>
      <x:c r="F1" s="12" t="str">
        <x:v>address</x:v>
      </x:c>
      <x:c r="G1" s="12" t="str">
        <x:v>signal</x:v>
      </x:c>
      <x:c r="H1" s="12" t="str">
        <x:v>data_type</x:v>
      </x:c>
      <x:c r="I1" s="12" t="str">
        <x:v>scaling</x:v>
      </x:c>
      <x:c r="J1" s="12" t="str">
        <x:v>status</x:v>
      </x:c>
    </x:row>
    <x:row r="2" ht="27" customHeight="1">
      <x:c r="A2" s="6" t="str">
        <x:v>-U100</x:v>
      </x:c>
      <x:c r="B2" s="6" t="str">
        <x:v>CONVEYOR</x:v>
      </x:c>
      <x:c r="C2" s="6" t="str">
        <x:v>Standard Telegram 1</x:v>
      </x:c>
      <x:c r="D2" s="6" t="str">
        <x:v>Drive_to_PLC</x:v>
      </x:c>
      <x:c r="E2" s="6" t="str">
        <x:v>1</x:v>
      </x:c>
      <x:c r="F2" s="6" t="str">
        <x:v>IW256</x:v>
      </x:c>
      <x:c r="G2" s="6" t="str">
        <x:v>ZSW1 status word</x:v>
      </x:c>
      <x:c r="H2" s="6" t="str">
        <x:v>WORD</x:v>
      </x:c>
      <x:c r="I2" s="6" t="str">
        <x:v>Bit-coded per SINAMICS</x:v>
      </x:c>
      <x:c r="J2" s="6" t="str">
        <x:v>Native Startdrive/TIA confirmation open</x:v>
      </x:c>
    </x:row>
    <x:row r="3" ht="27" customHeight="1">
      <x:c r="A3" s="6" t="str">
        <x:v>-U100</x:v>
      </x:c>
      <x:c r="B3" s="6" t="str">
        <x:v>CONVEYOR</x:v>
      </x:c>
      <x:c r="C3" s="6" t="str">
        <x:v>Standard Telegram 1</x:v>
      </x:c>
      <x:c r="D3" s="6" t="str">
        <x:v>Drive_to_PLC</x:v>
      </x:c>
      <x:c r="E3" s="6" t="str">
        <x:v>2</x:v>
      </x:c>
      <x:c r="F3" s="6" t="str">
        <x:v>IW258</x:v>
      </x:c>
      <x:c r="G3" s="6" t="str">
        <x:v>NIST_A actual speed</x:v>
      </x:c>
      <x:c r="H3" s="6" t="str">
        <x:v>INT</x:v>
      </x:c>
      <x:c r="I3" s="6" t="str">
        <x:v>16384 = 100% reference speed</x:v>
      </x:c>
      <x:c r="J3" s="6" t="str">
        <x:v>Native Startdrive/TIA confirmation open</x:v>
      </x:c>
    </x:row>
    <x:row r="4" ht="27" customHeight="1">
      <x:c r="A4" s="6" t="str">
        <x:v>-U100</x:v>
      </x:c>
      <x:c r="B4" s="6" t="str">
        <x:v>CONVEYOR</x:v>
      </x:c>
      <x:c r="C4" s="6" t="str">
        <x:v>Standard Telegram 1</x:v>
      </x:c>
      <x:c r="D4" s="6" t="str">
        <x:v>PLC_to_Drive</x:v>
      </x:c>
      <x:c r="E4" s="6" t="str">
        <x:v>1</x:v>
      </x:c>
      <x:c r="F4" s="6" t="str">
        <x:v>QW256</x:v>
      </x:c>
      <x:c r="G4" s="6" t="str">
        <x:v>STW1 control word</x:v>
      </x:c>
      <x:c r="H4" s="6" t="str">
        <x:v>WORD</x:v>
      </x:c>
      <x:c r="I4" s="6" t="str">
        <x:v>Bit-coded per SINAMICS</x:v>
      </x:c>
      <x:c r="J4" s="6" t="str">
        <x:v>Native Startdrive/TIA confirmation open</x:v>
      </x:c>
    </x:row>
    <x:row r="5" ht="27" customHeight="1">
      <x:c r="A5" s="6" t="str">
        <x:v>-U100</x:v>
      </x:c>
      <x:c r="B5" s="6" t="str">
        <x:v>CONVEYOR</x:v>
      </x:c>
      <x:c r="C5" s="6" t="str">
        <x:v>Standard Telegram 1</x:v>
      </x:c>
      <x:c r="D5" s="6" t="str">
        <x:v>PLC_to_Drive</x:v>
      </x:c>
      <x:c r="E5" s="6" t="str">
        <x:v>2</x:v>
      </x:c>
      <x:c r="F5" s="6" t="str">
        <x:v>QW258</x:v>
      </x:c>
      <x:c r="G5" s="6" t="str">
        <x:v>NSOLL_A speed setpoint</x:v>
      </x:c>
      <x:c r="H5" s="6" t="str">
        <x:v>INT</x:v>
      </x:c>
      <x:c r="I5" s="6" t="str">
        <x:v>16384 = 100% reference speed</x:v>
      </x:c>
      <x:c r="J5" s="6" t="str">
        <x:v>Native Startdrive/TIA confirmation open</x:v>
      </x:c>
    </x:row>
    <x:row r="6" ht="27" customHeight="1">
      <x:c r="A6" s="6" t="str">
        <x:v>-U101</x:v>
      </x:c>
      <x:c r="B6" s="6" t="str">
        <x:v>PUMP</x:v>
      </x:c>
      <x:c r="C6" s="6" t="str">
        <x:v>Standard Telegram 1</x:v>
      </x:c>
      <x:c r="D6" s="6" t="str">
        <x:v>Drive_to_PLC</x:v>
      </x:c>
      <x:c r="E6" s="6" t="str">
        <x:v>1</x:v>
      </x:c>
      <x:c r="F6" s="6" t="str">
        <x:v>IW260</x:v>
      </x:c>
      <x:c r="G6" s="6" t="str">
        <x:v>ZSW1 status word</x:v>
      </x:c>
      <x:c r="H6" s="6" t="str">
        <x:v>WORD</x:v>
      </x:c>
      <x:c r="I6" s="6" t="str">
        <x:v>Bit-coded per SINAMICS</x:v>
      </x:c>
      <x:c r="J6" s="6" t="str">
        <x:v>Native Startdrive/TIA confirmation open</x:v>
      </x:c>
    </x:row>
    <x:row r="7" ht="27" customHeight="1">
      <x:c r="A7" s="6" t="str">
        <x:v>-U101</x:v>
      </x:c>
      <x:c r="B7" s="6" t="str">
        <x:v>PUMP</x:v>
      </x:c>
      <x:c r="C7" s="6" t="str">
        <x:v>Standard Telegram 1</x:v>
      </x:c>
      <x:c r="D7" s="6" t="str">
        <x:v>Drive_to_PLC</x:v>
      </x:c>
      <x:c r="E7" s="6" t="str">
        <x:v>2</x:v>
      </x:c>
      <x:c r="F7" s="6" t="str">
        <x:v>IW262</x:v>
      </x:c>
      <x:c r="G7" s="6" t="str">
        <x:v>NIST_A actual speed</x:v>
      </x:c>
      <x:c r="H7" s="6" t="str">
        <x:v>INT</x:v>
      </x:c>
      <x:c r="I7" s="6" t="str">
        <x:v>16384 = 100% reference speed</x:v>
      </x:c>
      <x:c r="J7" s="6" t="str">
        <x:v>Native Startdrive/TIA confirmation open</x:v>
      </x:c>
    </x:row>
    <x:row r="8" ht="27" customHeight="1">
      <x:c r="A8" s="6" t="str">
        <x:v>-U101</x:v>
      </x:c>
      <x:c r="B8" s="6" t="str">
        <x:v>PUMP</x:v>
      </x:c>
      <x:c r="C8" s="6" t="str">
        <x:v>Standard Telegram 1</x:v>
      </x:c>
      <x:c r="D8" s="6" t="str">
        <x:v>PLC_to_Drive</x:v>
      </x:c>
      <x:c r="E8" s="6" t="str">
        <x:v>1</x:v>
      </x:c>
      <x:c r="F8" s="6" t="str">
        <x:v>QW260</x:v>
      </x:c>
      <x:c r="G8" s="6" t="str">
        <x:v>STW1 control word</x:v>
      </x:c>
      <x:c r="H8" s="6" t="str">
        <x:v>WORD</x:v>
      </x:c>
      <x:c r="I8" s="6" t="str">
        <x:v>Bit-coded per SINAMICS</x:v>
      </x:c>
      <x:c r="J8" s="6" t="str">
        <x:v>Native Startdrive/TIA confirmation open</x:v>
      </x:c>
    </x:row>
    <x:row r="9" ht="27" customHeight="1">
      <x:c r="A9" s="6" t="str">
        <x:v>-U101</x:v>
      </x:c>
      <x:c r="B9" s="6" t="str">
        <x:v>PUMP</x:v>
      </x:c>
      <x:c r="C9" s="6" t="str">
        <x:v>Standard Telegram 1</x:v>
      </x:c>
      <x:c r="D9" s="6" t="str">
        <x:v>PLC_to_Drive</x:v>
      </x:c>
      <x:c r="E9" s="6" t="str">
        <x:v>2</x:v>
      </x:c>
      <x:c r="F9" s="6" t="str">
        <x:v>QW262</x:v>
      </x:c>
      <x:c r="G9" s="6" t="str">
        <x:v>NSOLL_A speed setpoint</x:v>
      </x:c>
      <x:c r="H9" s="6" t="str">
        <x:v>INT</x:v>
      </x:c>
      <x:c r="I9" s="6" t="str">
        <x:v>16384 = 100% reference speed</x:v>
      </x:c>
      <x:c r="J9" s="6" t="str">
        <x:v>Native Startdrive/TIA confirmation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</x:cols>
  <x:sheetData>
    <x:row r="1" ht="31.5" customHeight="1">
      <x:c r="A1" s="12" t="str">
        <x:v>hmi_tag</x:v>
      </x:c>
      <x:c r="B1" s="12" t="str">
        <x:v>plc_source</x:v>
      </x:c>
      <x:c r="C1" s="12" t="str">
        <x:v>access</x:v>
      </x:c>
      <x:c r="D1" s="12" t="str">
        <x:v>command</x:v>
      </x:c>
      <x:c r="E1" s="12" t="str">
        <x:v>request_seq</x:v>
      </x:c>
      <x:c r="F1" s="12" t="str">
        <x:v>accepted_seq</x:v>
      </x:c>
      <x:c r="G1" s="12" t="str">
        <x:v>rejected_seq</x:v>
      </x:c>
      <x:c r="H1" s="12" t="str">
        <x:v>disabled_reason</x:v>
      </x:c>
      <x:c r="I1" s="12" t="str">
        <x:v>role</x:v>
      </x:c>
      <x:c r="J1" s="12" t="str">
        <x:v>screen</x:v>
      </x:c>
    </x:row>
    <x:row r="2" ht="27" customHeight="1">
      <x:c r="A2" s="6" t="str">
        <x:v>STATUS_MACHINE_STATE</x:v>
      </x:c>
      <x:c r="B2" s="6" t="str">
        <x:v>DB_HMI.StateCode</x:v>
      </x:c>
      <x:c r="C2" s="6" t="str">
        <x:v>Read only</x:v>
      </x:c>
      <x:c r="D2" s="6" t="str">
        <x:v>No</x:v>
      </x:c>
      <x:c r="E2" s="6" t="str"/>
      <x:c r="F2" s="6" t="str"/>
      <x:c r="G2" s="6" t="str"/>
      <x:c r="H2" s="6" t="str"/>
      <x:c r="I2" s="6" t="str">
        <x:v>Operator</x:v>
      </x:c>
      <x:c r="J2" s="6" t="str">
        <x:v>Overview</x:v>
      </x:c>
    </x:row>
    <x:row r="3" ht="27" customHeight="1">
      <x:c r="A3" s="6" t="str">
        <x:v>STATUS_AUTO_STEP</x:v>
      </x:c>
      <x:c r="B3" s="6" t="str">
        <x:v>DB_HMI.AutoStepCode</x:v>
      </x:c>
      <x:c r="C3" s="6" t="str">
        <x:v>Read only</x:v>
      </x:c>
      <x:c r="D3" s="6" t="str">
        <x:v>No</x:v>
      </x:c>
      <x:c r="E3" s="6" t="str"/>
      <x:c r="F3" s="6" t="str"/>
      <x:c r="G3" s="6" t="str"/>
      <x:c r="H3" s="6" t="str"/>
      <x:c r="I3" s="6" t="str">
        <x:v>Operator</x:v>
      </x:c>
      <x:c r="J3" s="6" t="str">
        <x:v>Overview</x:v>
      </x:c>
    </x:row>
    <x:row r="4" ht="27" customHeight="1">
      <x:c r="A4" s="6" t="str">
        <x:v>STATUS_QUALITY_HOLD</x:v>
      </x:c>
      <x:c r="B4" s="6" t="str">
        <x:v>DB_HMI.QualityHold</x:v>
      </x:c>
      <x:c r="C4" s="6" t="str">
        <x:v>Read only</x:v>
      </x:c>
      <x:c r="D4" s="6" t="str">
        <x:v>No</x:v>
      </x:c>
      <x:c r="E4" s="6" t="str"/>
      <x:c r="F4" s="6" t="str"/>
      <x:c r="G4" s="6" t="str"/>
      <x:c r="H4" s="6" t="str"/>
      <x:c r="I4" s="6" t="str">
        <x:v>Operator</x:v>
      </x:c>
      <x:c r="J4" s="6" t="str">
        <x:v>Overview</x:v>
      </x:c>
    </x:row>
    <x:row r="5" ht="27" customHeight="1">
      <x:c r="A5" s="6" t="str">
        <x:v>STATUS_FIRST_OUT_ALARM</x:v>
      </x:c>
      <x:c r="B5" s="6" t="str">
        <x:v>DB_HMI.FirstOutAlarm</x:v>
      </x:c>
      <x:c r="C5" s="6" t="str">
        <x:v>Read only</x:v>
      </x:c>
      <x:c r="D5" s="6" t="str">
        <x:v>No</x:v>
      </x:c>
      <x:c r="E5" s="6" t="str"/>
      <x:c r="F5" s="6" t="str"/>
      <x:c r="G5" s="6" t="str"/>
      <x:c r="H5" s="6" t="str"/>
      <x:c r="I5" s="6" t="str">
        <x:v>Operator</x:v>
      </x:c>
      <x:c r="J5" s="6" t="str">
        <x:v>Alarms</x:v>
      </x:c>
    </x:row>
    <x:row r="6" ht="27" customHeight="1">
      <x:c r="A6" s="6" t="str">
        <x:v>STATUS_SAFETY_OK</x:v>
      </x:c>
      <x:c r="B6" s="6" t="str">
        <x:v>DB_IO.Inputs.SafetyOk</x:v>
      </x:c>
      <x:c r="C6" s="6" t="str">
        <x:v>Read only</x:v>
      </x:c>
      <x:c r="D6" s="6" t="str">
        <x:v>No</x:v>
      </x:c>
      <x:c r="E6" s="6" t="str"/>
      <x:c r="F6" s="6" t="str"/>
      <x:c r="G6" s="6" t="str"/>
      <x:c r="H6" s="6" t="str"/>
      <x:c r="I6" s="6" t="str">
        <x:v>Operator</x:v>
      </x:c>
      <x:c r="J6" s="6" t="str">
        <x:v>Diagnostics</x:v>
      </x:c>
    </x:row>
    <x:row r="7" ht="27" customHeight="1">
      <x:c r="A7" s="6" t="str">
        <x:v>STATUS_GUARD_CLOSED_STATUS</x:v>
      </x:c>
      <x:c r="B7" s="6" t="str">
        <x:v>DB_IO.Inputs.GuardClosed</x:v>
      </x:c>
      <x:c r="C7" s="6" t="str">
        <x:v>Read only</x:v>
      </x:c>
      <x:c r="D7" s="6" t="str">
        <x:v>No</x:v>
      </x:c>
      <x:c r="E7" s="6" t="str"/>
      <x:c r="F7" s="6" t="str"/>
      <x:c r="G7" s="6" t="str"/>
      <x:c r="H7" s="6" t="str"/>
      <x:c r="I7" s="6" t="str">
        <x:v>Operator</x:v>
      </x:c>
      <x:c r="J7" s="6" t="str">
        <x:v>Diagnostics</x:v>
      </x:c>
    </x:row>
    <x:row r="8" ht="27" customHeight="1">
      <x:c r="A8" s="6" t="str">
        <x:v>STATUS_AIR_PRESSURE_OK</x:v>
      </x:c>
      <x:c r="B8" s="6" t="str">
        <x:v>DB_IO.Inputs.AirPressureOk</x:v>
      </x:c>
      <x:c r="C8" s="6" t="str">
        <x:v>Read only</x:v>
      </x:c>
      <x:c r="D8" s="6" t="str">
        <x:v>No</x:v>
      </x:c>
      <x:c r="E8" s="6" t="str"/>
      <x:c r="F8" s="6" t="str"/>
      <x:c r="G8" s="6" t="str"/>
      <x:c r="H8" s="6" t="str"/>
      <x:c r="I8" s="6" t="str">
        <x:v>Operator</x:v>
      </x:c>
      <x:c r="J8" s="6" t="str">
        <x:v>Diagnostics</x:v>
      </x:c>
    </x:row>
    <x:row r="9" ht="27" customHeight="1">
      <x:c r="A9" s="6" t="str">
        <x:v>STATUS_PRODUCT_SUPPLY_OK</x:v>
      </x:c>
      <x:c r="B9" s="6" t="str">
        <x:v>DB_IO.Inputs.ProductSupplyOk</x:v>
      </x:c>
      <x:c r="C9" s="6" t="str">
        <x:v>Read only</x:v>
      </x:c>
      <x:c r="D9" s="6" t="str">
        <x:v>No</x:v>
      </x:c>
      <x:c r="E9" s="6" t="str"/>
      <x:c r="F9" s="6" t="str"/>
      <x:c r="G9" s="6" t="str"/>
      <x:c r="H9" s="6" t="str"/>
      <x:c r="I9" s="6" t="str">
        <x:v>Operator</x:v>
      </x:c>
      <x:c r="J9" s="6" t="str">
        <x:v>Diagnostics</x:v>
      </x:c>
    </x:row>
    <x:row r="10" ht="27" customHeight="1">
      <x:c r="A10" s="6" t="str">
        <x:v>STATUS_BOTTLE_AT_NEST_1</x:v>
      </x:c>
      <x:c r="B10" s="6" t="str">
        <x:v>DB_IO.Inputs.Bottle1Present</x:v>
      </x:c>
      <x:c r="C10" s="6" t="str">
        <x:v>Read only</x:v>
      </x:c>
      <x:c r="D10" s="6" t="str">
        <x:v>No</x:v>
      </x:c>
      <x:c r="E10" s="6" t="str"/>
      <x:c r="F10" s="6" t="str"/>
      <x:c r="G10" s="6" t="str"/>
      <x:c r="H10" s="6" t="str"/>
      <x:c r="I10" s="6" t="str">
        <x:v>Operator</x:v>
      </x:c>
      <x:c r="J10" s="6" t="str">
        <x:v>Overview</x:v>
      </x:c>
    </x:row>
    <x:row r="11" ht="27" customHeight="1">
      <x:c r="A11" s="6" t="str">
        <x:v>STATUS_BOTTLE_AT_NEST_2</x:v>
      </x:c>
      <x:c r="B11" s="6" t="str">
        <x:v>DB_IO.Inputs.Bottle2Present</x:v>
      </x:c>
      <x:c r="C11" s="6" t="str">
        <x:v>Read only</x:v>
      </x:c>
      <x:c r="D11" s="6" t="str">
        <x:v>No</x:v>
      </x:c>
      <x:c r="E11" s="6" t="str"/>
      <x:c r="F11" s="6" t="str"/>
      <x:c r="G11" s="6" t="str"/>
      <x:c r="H11" s="6" t="str"/>
      <x:c r="I11" s="6" t="str">
        <x:v>Operator</x:v>
      </x:c>
      <x:c r="J11" s="6" t="str">
        <x:v>Overview</x:v>
      </x:c>
    </x:row>
    <x:row r="12" ht="27" customHeight="1">
      <x:c r="A12" s="6" t="str">
        <x:v>STATUS_GATE_OPEN_FB</x:v>
      </x:c>
      <x:c r="B12" s="6" t="str">
        <x:v>DB_IO.Inputs.GateOpen</x:v>
      </x:c>
      <x:c r="C12" s="6" t="str">
        <x:v>Read only</x:v>
      </x:c>
      <x:c r="D12" s="6" t="str">
        <x:v>No</x:v>
      </x:c>
      <x:c r="E12" s="6" t="str"/>
      <x:c r="F12" s="6" t="str"/>
      <x:c r="G12" s="6" t="str"/>
      <x:c r="H12" s="6" t="str"/>
      <x:c r="I12" s="6" t="str">
        <x:v>Operator</x:v>
      </x:c>
      <x:c r="J12" s="6" t="str">
        <x:v>Diagnostics</x:v>
      </x:c>
    </x:row>
    <x:row r="13" ht="27" customHeight="1">
      <x:c r="A13" s="6" t="str">
        <x:v>STATUS_GATE_CLOSED_FB</x:v>
      </x:c>
      <x:c r="B13" s="6" t="str">
        <x:v>DB_IO.Inputs.GateClosed</x:v>
      </x:c>
      <x:c r="C13" s="6" t="str">
        <x:v>Read only</x:v>
      </x:c>
      <x:c r="D13" s="6" t="str">
        <x:v>No</x:v>
      </x:c>
      <x:c r="E13" s="6" t="str"/>
      <x:c r="F13" s="6" t="str"/>
      <x:c r="G13" s="6" t="str"/>
      <x:c r="H13" s="6" t="str"/>
      <x:c r="I13" s="6" t="str">
        <x:v>Operator</x:v>
      </x:c>
      <x:c r="J13" s="6" t="str">
        <x:v>Diagnostics</x:v>
      </x:c>
    </x:row>
    <x:row r="14" ht="27" customHeight="1">
      <x:c r="A14" s="6" t="str">
        <x:v>STATUS_CLAMP_RELEASED_FB</x:v>
      </x:c>
      <x:c r="B14" s="6" t="str">
        <x:v>DB_IO.Inputs.ClampReleased</x:v>
      </x:c>
      <x:c r="C14" s="6" t="str">
        <x:v>Read only</x:v>
      </x:c>
      <x:c r="D14" s="6" t="str">
        <x:v>No</x:v>
      </x:c>
      <x:c r="E14" s="6" t="str"/>
      <x:c r="F14" s="6" t="str"/>
      <x:c r="G14" s="6" t="str"/>
      <x:c r="H14" s="6" t="str"/>
      <x:c r="I14" s="6" t="str">
        <x:v>Operator</x:v>
      </x:c>
      <x:c r="J14" s="6" t="str">
        <x:v>Diagnostics</x:v>
      </x:c>
    </x:row>
    <x:row r="15" ht="27" customHeight="1">
      <x:c r="A15" s="6" t="str">
        <x:v>STATUS_CLAMP_ENGAGED_FB</x:v>
      </x:c>
      <x:c r="B15" s="6" t="str">
        <x:v>DB_IO.Inputs.ClampEngaged</x:v>
      </x:c>
      <x:c r="C15" s="6" t="str">
        <x:v>Read only</x:v>
      </x:c>
      <x:c r="D15" s="6" t="str">
        <x:v>No</x:v>
      </x:c>
      <x:c r="E15" s="6" t="str"/>
      <x:c r="F15" s="6" t="str"/>
      <x:c r="G15" s="6" t="str"/>
      <x:c r="H15" s="6" t="str"/>
      <x:c r="I15" s="6" t="str">
        <x:v>Operator</x:v>
      </x:c>
      <x:c r="J15" s="6" t="str">
        <x:v>Diagnostics</x:v>
      </x:c>
    </x:row>
    <x:row r="16" ht="27" customHeight="1">
      <x:c r="A16" s="6" t="str">
        <x:v>STATUS_FILL_VALVE_1_CLOSED_FB</x:v>
      </x:c>
      <x:c r="B16" s="6" t="str">
        <x:v>DB_IO.Inputs.Valve1Closed</x:v>
      </x:c>
      <x:c r="C16" s="6" t="str">
        <x:v>Read only</x:v>
      </x:c>
      <x:c r="D16" s="6" t="str">
        <x:v>No</x:v>
      </x:c>
      <x:c r="E16" s="6" t="str"/>
      <x:c r="F16" s="6" t="str"/>
      <x:c r="G16" s="6" t="str"/>
      <x:c r="H16" s="6" t="str"/>
      <x:c r="I16" s="6" t="str">
        <x:v>Operator</x:v>
      </x:c>
      <x:c r="J16" s="6" t="str">
        <x:v>Filling</x:v>
      </x:c>
    </x:row>
    <x:row r="17" ht="27" customHeight="1">
      <x:c r="A17" s="6" t="str">
        <x:v>STATUS_FILL_VALVE_2_CLOSED_FB</x:v>
      </x:c>
      <x:c r="B17" s="6" t="str">
        <x:v>DB_IO.Inputs.Valve2Closed</x:v>
      </x:c>
      <x:c r="C17" s="6" t="str">
        <x:v>Read only</x:v>
      </x:c>
      <x:c r="D17" s="6" t="str">
        <x:v>No</x:v>
      </x:c>
      <x:c r="E17" s="6" t="str"/>
      <x:c r="F17" s="6" t="str"/>
      <x:c r="G17" s="6" t="str"/>
      <x:c r="H17" s="6" t="str"/>
      <x:c r="I17" s="6" t="str">
        <x:v>Operator</x:v>
      </x:c>
      <x:c r="J17" s="6" t="str">
        <x:v>Filling</x:v>
      </x:c>
    </x:row>
    <x:row r="18" ht="27" customHeight="1">
      <x:c r="A18" s="6" t="str">
        <x:v>STATUS_FLOW_1_MA_RAW</x:v>
      </x:c>
      <x:c r="B18" s="6" t="str">
        <x:v>DB_IO.Inputs.Flow1Raw</x:v>
      </x:c>
      <x:c r="C18" s="6" t="str">
        <x:v>Read only</x:v>
      </x:c>
      <x:c r="D18" s="6" t="str">
        <x:v>No</x:v>
      </x:c>
      <x:c r="E18" s="6" t="str"/>
      <x:c r="F18" s="6" t="str"/>
      <x:c r="G18" s="6" t="str"/>
      <x:c r="H18" s="6" t="str"/>
      <x:c r="I18" s="6" t="str">
        <x:v>Operator</x:v>
      </x:c>
      <x:c r="J18" s="6" t="str">
        <x:v>Filling</x:v>
      </x:c>
    </x:row>
    <x:row r="19" ht="27" customHeight="1">
      <x:c r="A19" s="6" t="str">
        <x:v>STATUS_FLOW_2_MA_RAW</x:v>
      </x:c>
      <x:c r="B19" s="6" t="str">
        <x:v>DB_IO.Inputs.Flow2Raw</x:v>
      </x:c>
      <x:c r="C19" s="6" t="str">
        <x:v>Read only</x:v>
      </x:c>
      <x:c r="D19" s="6" t="str">
        <x:v>No</x:v>
      </x:c>
      <x:c r="E19" s="6" t="str"/>
      <x:c r="F19" s="6" t="str"/>
      <x:c r="G19" s="6" t="str"/>
      <x:c r="H19" s="6" t="str"/>
      <x:c r="I19" s="6" t="str">
        <x:v>Operator</x:v>
      </x:c>
      <x:c r="J19" s="6" t="str">
        <x:v>Filling</x:v>
      </x:c>
    </x:row>
    <x:row r="20" ht="27" customHeight="1">
      <x:c r="A20" s="6" t="str">
        <x:v>STATUS_FLOW_1_DELIVERED_ML</x:v>
      </x:c>
      <x:c r="B20" s="6" t="str">
        <x:v>DB_CellMain.FillCh1.DeliveredMl</x:v>
      </x:c>
      <x:c r="C20" s="6" t="str">
        <x:v>Read only</x:v>
      </x:c>
      <x:c r="D20" s="6" t="str">
        <x:v>No</x:v>
      </x:c>
      <x:c r="E20" s="6" t="str"/>
      <x:c r="F20" s="6" t="str"/>
      <x:c r="G20" s="6" t="str"/>
      <x:c r="H20" s="6" t="str"/>
      <x:c r="I20" s="6" t="str">
        <x:v>Operator</x:v>
      </x:c>
      <x:c r="J20" s="6" t="str">
        <x:v>Filling</x:v>
      </x:c>
    </x:row>
    <x:row r="21" ht="27" customHeight="1">
      <x:c r="A21" s="6" t="str">
        <x:v>STATUS_FLOW_2_DELIVERED_ML</x:v>
      </x:c>
      <x:c r="B21" s="6" t="str">
        <x:v>DB_CellMain.FillCh2.DeliveredMl</x:v>
      </x:c>
      <x:c r="C21" s="6" t="str">
        <x:v>Read only</x:v>
      </x:c>
      <x:c r="D21" s="6" t="str">
        <x:v>No</x:v>
      </x:c>
      <x:c r="E21" s="6" t="str"/>
      <x:c r="F21" s="6" t="str"/>
      <x:c r="G21" s="6" t="str"/>
      <x:c r="H21" s="6" t="str"/>
      <x:c r="I21" s="6" t="str">
        <x:v>Operator</x:v>
      </x:c>
      <x:c r="J21" s="6" t="str">
        <x:v>Filling</x:v>
      </x:c>
    </x:row>
    <x:row r="22" ht="27" customHeight="1">
      <x:c r="A22" s="6" t="str">
        <x:v>STATUS_FILL_1_DIAG</x:v>
      </x:c>
      <x:c r="B22" s="6" t="str">
        <x:v>DB_CellMain.FillCh1.DiagReason</x:v>
      </x:c>
      <x:c r="C22" s="6" t="str">
        <x:v>Read only</x:v>
      </x:c>
      <x:c r="D22" s="6" t="str">
        <x:v>No</x:v>
      </x:c>
      <x:c r="E22" s="6" t="str"/>
      <x:c r="F22" s="6" t="str"/>
      <x:c r="G22" s="6" t="str"/>
      <x:c r="H22" s="6" t="str"/>
      <x:c r="I22" s="6" t="str">
        <x:v>Operator</x:v>
      </x:c>
      <x:c r="J22" s="6" t="str">
        <x:v>Filling</x:v>
      </x:c>
    </x:row>
    <x:row r="23" ht="27" customHeight="1">
      <x:c r="A23" s="6" t="str">
        <x:v>STATUS_FILL_2_DIAG</x:v>
      </x:c>
      <x:c r="B23" s="6" t="str">
        <x:v>DB_CellMain.FillCh2.DiagReason</x:v>
      </x:c>
      <x:c r="C23" s="6" t="str">
        <x:v>Read only</x:v>
      </x:c>
      <x:c r="D23" s="6" t="str">
        <x:v>No</x:v>
      </x:c>
      <x:c r="E23" s="6" t="str"/>
      <x:c r="F23" s="6" t="str"/>
      <x:c r="G23" s="6" t="str"/>
      <x:c r="H23" s="6" t="str"/>
      <x:c r="I23" s="6" t="str">
        <x:v>Operator</x:v>
      </x:c>
      <x:c r="J23" s="6" t="str">
        <x:v>Filling</x:v>
      </x:c>
    </x:row>
    <x:row r="24" ht="27" customHeight="1">
      <x:c r="A24" s="6" t="str">
        <x:v>STATUS_CONVEYOR_READY</x:v>
      </x:c>
      <x:c r="B24" s="6" t="str">
        <x:v>DB_Drives.Conveyor.Ready</x:v>
      </x:c>
      <x:c r="C24" s="6" t="str">
        <x:v>Read only</x:v>
      </x:c>
      <x:c r="D24" s="6" t="str">
        <x:v>No</x:v>
      </x:c>
      <x:c r="E24" s="6" t="str"/>
      <x:c r="F24" s="6" t="str"/>
      <x:c r="G24" s="6" t="str"/>
      <x:c r="H24" s="6" t="str"/>
      <x:c r="I24" s="6" t="str">
        <x:v>Operator</x:v>
      </x:c>
      <x:c r="J24" s="6" t="str">
        <x:v>Drives</x:v>
      </x:c>
    </x:row>
    <x:row r="25" ht="27" customHeight="1">
      <x:c r="A25" s="6" t="str">
        <x:v>STATUS_CONVEYOR_RUNNING</x:v>
      </x:c>
      <x:c r="B25" s="6" t="str">
        <x:v>DB_Drives.Conveyor.Running</x:v>
      </x:c>
      <x:c r="C25" s="6" t="str">
        <x:v>Read only</x:v>
      </x:c>
      <x:c r="D25" s="6" t="str">
        <x:v>No</x:v>
      </x:c>
      <x:c r="E25" s="6" t="str"/>
      <x:c r="F25" s="6" t="str"/>
      <x:c r="G25" s="6" t="str"/>
      <x:c r="H25" s="6" t="str"/>
      <x:c r="I25" s="6" t="str">
        <x:v>Operator</x:v>
      </x:c>
      <x:c r="J25" s="6" t="str">
        <x:v>Drives</x:v>
      </x:c>
    </x:row>
    <x:row r="26" ht="27" customHeight="1">
      <x:c r="A26" s="6" t="str">
        <x:v>STATUS_CONVEYOR_FAULT</x:v>
      </x:c>
      <x:c r="B26" s="6" t="str">
        <x:v>DB_Drives.Conveyor.Fault</x:v>
      </x:c>
      <x:c r="C26" s="6" t="str">
        <x:v>Read only</x:v>
      </x:c>
      <x:c r="D26" s="6" t="str">
        <x:v>No</x:v>
      </x:c>
      <x:c r="E26" s="6" t="str"/>
      <x:c r="F26" s="6" t="str"/>
      <x:c r="G26" s="6" t="str"/>
      <x:c r="H26" s="6" t="str"/>
      <x:c r="I26" s="6" t="str">
        <x:v>Operator</x:v>
      </x:c>
      <x:c r="J26" s="6" t="str">
        <x:v>Drives</x:v>
      </x:c>
    </x:row>
    <x:row r="27" ht="27" customHeight="1">
      <x:c r="A27" s="6" t="str">
        <x:v>STATUS_CONVEYOR_SPEED_PCT</x:v>
      </x:c>
      <x:c r="B27" s="6" t="str">
        <x:v>DB_Drives.Conveyor.ActualSpeedPct</x:v>
      </x:c>
      <x:c r="C27" s="6" t="str">
        <x:v>Read only</x:v>
      </x:c>
      <x:c r="D27" s="6" t="str">
        <x:v>No</x:v>
      </x:c>
      <x:c r="E27" s="6" t="str"/>
      <x:c r="F27" s="6" t="str"/>
      <x:c r="G27" s="6" t="str"/>
      <x:c r="H27" s="6" t="str"/>
      <x:c r="I27" s="6" t="str">
        <x:v>Operator</x:v>
      </x:c>
      <x:c r="J27" s="6" t="str">
        <x:v>Drives</x:v>
      </x:c>
    </x:row>
    <x:row r="28" ht="27" customHeight="1">
      <x:c r="A28" s="6" t="str">
        <x:v>STATUS_PUMP_READY</x:v>
      </x:c>
      <x:c r="B28" s="6" t="str">
        <x:v>DB_Drives.Pump.Ready</x:v>
      </x:c>
      <x:c r="C28" s="6" t="str">
        <x:v>Read only</x:v>
      </x:c>
      <x:c r="D28" s="6" t="str">
        <x:v>No</x:v>
      </x:c>
      <x:c r="E28" s="6" t="str"/>
      <x:c r="F28" s="6" t="str"/>
      <x:c r="G28" s="6" t="str"/>
      <x:c r="H28" s="6" t="str"/>
      <x:c r="I28" s="6" t="str">
        <x:v>Operator</x:v>
      </x:c>
      <x:c r="J28" s="6" t="str">
        <x:v>Drives</x:v>
      </x:c>
    </x:row>
    <x:row r="29" ht="27" customHeight="1">
      <x:c r="A29" s="6" t="str">
        <x:v>STATUS_PUMP_RUNNING</x:v>
      </x:c>
      <x:c r="B29" s="6" t="str">
        <x:v>DB_Drives.Pump.Running</x:v>
      </x:c>
      <x:c r="C29" s="6" t="str">
        <x:v>Read only</x:v>
      </x:c>
      <x:c r="D29" s="6" t="str">
        <x:v>No</x:v>
      </x:c>
      <x:c r="E29" s="6" t="str"/>
      <x:c r="F29" s="6" t="str"/>
      <x:c r="G29" s="6" t="str"/>
      <x:c r="H29" s="6" t="str"/>
      <x:c r="I29" s="6" t="str">
        <x:v>Operator</x:v>
      </x:c>
      <x:c r="J29" s="6" t="str">
        <x:v>Drives</x:v>
      </x:c>
    </x:row>
    <x:row r="30" ht="27" customHeight="1">
      <x:c r="A30" s="6" t="str">
        <x:v>STATUS_PUMP_FAULT</x:v>
      </x:c>
      <x:c r="B30" s="6" t="str">
        <x:v>DB_Drives.Pump.Fault</x:v>
      </x:c>
      <x:c r="C30" s="6" t="str">
        <x:v>Read only</x:v>
      </x:c>
      <x:c r="D30" s="6" t="str">
        <x:v>No</x:v>
      </x:c>
      <x:c r="E30" s="6" t="str"/>
      <x:c r="F30" s="6" t="str"/>
      <x:c r="G30" s="6" t="str"/>
      <x:c r="H30" s="6" t="str"/>
      <x:c r="I30" s="6" t="str">
        <x:v>Operator</x:v>
      </x:c>
      <x:c r="J30" s="6" t="str">
        <x:v>Drives</x:v>
      </x:c>
    </x:row>
    <x:row r="31" ht="27" customHeight="1">
      <x:c r="A31" s="6" t="str">
        <x:v>STATUS_PUMP_SPEED_PCT</x:v>
      </x:c>
      <x:c r="B31" s="6" t="str">
        <x:v>DB_Drives.Pump.ActualSpeedPct</x:v>
      </x:c>
      <x:c r="C31" s="6" t="str">
        <x:v>Read only</x:v>
      </x:c>
      <x:c r="D31" s="6" t="str">
        <x:v>No</x:v>
      </x:c>
      <x:c r="E31" s="6" t="str"/>
      <x:c r="F31" s="6" t="str"/>
      <x:c r="G31" s="6" t="str"/>
      <x:c r="H31" s="6" t="str"/>
      <x:c r="I31" s="6" t="str">
        <x:v>Operator</x:v>
      </x:c>
      <x:c r="J31" s="6" t="str">
        <x:v>Drives</x:v>
      </x:c>
    </x:row>
    <x:row r="32" ht="27" customHeight="1">
      <x:c r="A32" s="6" t="str">
        <x:v>STATUS_VISION_READY</x:v>
      </x:c>
      <x:c r="B32" s="6" t="str">
        <x:v>DB_VisionComms.Ready</x:v>
      </x:c>
      <x:c r="C32" s="6" t="str">
        <x:v>Read only</x:v>
      </x:c>
      <x:c r="D32" s="6" t="str">
        <x:v>No</x:v>
      </x:c>
      <x:c r="E32" s="6" t="str"/>
      <x:c r="F32" s="6" t="str"/>
      <x:c r="G32" s="6" t="str"/>
      <x:c r="H32" s="6" t="str"/>
      <x:c r="I32" s="6" t="str">
        <x:v>Operator</x:v>
      </x:c>
      <x:c r="J32" s="6" t="str">
        <x:v>Vision</x:v>
      </x:c>
    </x:row>
    <x:row r="33" ht="27" customHeight="1">
      <x:c r="A33" s="6" t="str">
        <x:v>STATUS_VISION_BUSY</x:v>
      </x:c>
      <x:c r="B33" s="6" t="str">
        <x:v>DB_VisionComms.Busy</x:v>
      </x:c>
      <x:c r="C33" s="6" t="str">
        <x:v>Read only</x:v>
      </x:c>
      <x:c r="D33" s="6" t="str">
        <x:v>No</x:v>
      </x:c>
      <x:c r="E33" s="6" t="str"/>
      <x:c r="F33" s="6" t="str"/>
      <x:c r="G33" s="6" t="str"/>
      <x:c r="H33" s="6" t="str"/>
      <x:c r="I33" s="6" t="str">
        <x:v>Operator</x:v>
      </x:c>
      <x:c r="J33" s="6" t="str">
        <x:v>Vision</x:v>
      </x:c>
    </x:row>
    <x:row r="34" ht="27" customHeight="1">
      <x:c r="A34" s="6" t="str">
        <x:v>STATUS_VISION_RESULT_ID</x:v>
      </x:c>
      <x:c r="B34" s="6" t="str">
        <x:v>DB_VisionComms.Result.ResultId</x:v>
      </x:c>
      <x:c r="C34" s="6" t="str">
        <x:v>Read only</x:v>
      </x:c>
      <x:c r="D34" s="6" t="str">
        <x:v>No</x:v>
      </x:c>
      <x:c r="E34" s="6" t="str"/>
      <x:c r="F34" s="6" t="str"/>
      <x:c r="G34" s="6" t="str"/>
      <x:c r="H34" s="6" t="str"/>
      <x:c r="I34" s="6" t="str">
        <x:v>Operator</x:v>
      </x:c>
      <x:c r="J34" s="6" t="str">
        <x:v>Vision</x:v>
      </x:c>
    </x:row>
    <x:row r="35" ht="27" customHeight="1">
      <x:c r="A35" s="6" t="str">
        <x:v>STATUS_VISION_LOW_CONFIDENCE</x:v>
      </x:c>
      <x:c r="B35" s="6" t="str">
        <x:v>DB_VisionComms.Result.LowConfidence</x:v>
      </x:c>
      <x:c r="C35" s="6" t="str">
        <x:v>Read only</x:v>
      </x:c>
      <x:c r="D35" s="6" t="str">
        <x:v>No</x:v>
      </x:c>
      <x:c r="E35" s="6" t="str"/>
      <x:c r="F35" s="6" t="str"/>
      <x:c r="G35" s="6" t="str"/>
      <x:c r="H35" s="6" t="str"/>
      <x:c r="I35" s="6" t="str">
        <x:v>Operator</x:v>
      </x:c>
      <x:c r="J35" s="6" t="str">
        <x:v>Vision</x:v>
      </x:c>
    </x:row>
    <x:row r="36" ht="27" customHeight="1">
      <x:c r="A36" s="6" t="str">
        <x:v>STATUS_VISION_FAULT</x:v>
      </x:c>
      <x:c r="B36" s="6" t="str">
        <x:v>DB_VisionComms.Result.Fault</x:v>
      </x:c>
      <x:c r="C36" s="6" t="str">
        <x:v>Read only</x:v>
      </x:c>
      <x:c r="D36" s="6" t="str">
        <x:v>No</x:v>
      </x:c>
      <x:c r="E36" s="6" t="str"/>
      <x:c r="F36" s="6" t="str"/>
      <x:c r="G36" s="6" t="str"/>
      <x:c r="H36" s="6" t="str"/>
      <x:c r="I36" s="6" t="str">
        <x:v>Operator</x:v>
      </x:c>
      <x:c r="J36" s="6" t="str">
        <x:v>Vision</x:v>
      </x:c>
    </x:row>
    <x:row r="37" ht="27" customHeight="1">
      <x:c r="A37" s="6" t="str">
        <x:v>STATUS_VISION_MODEL_ID</x:v>
      </x:c>
      <x:c r="B37" s="6" t="str">
        <x:v>DB_VisionComms.Result.ModelId</x:v>
      </x:c>
      <x:c r="C37" s="6" t="str">
        <x:v>Read only</x:v>
      </x:c>
      <x:c r="D37" s="6" t="str">
        <x:v>No</x:v>
      </x:c>
      <x:c r="E37" s="6" t="str"/>
      <x:c r="F37" s="6" t="str"/>
      <x:c r="G37" s="6" t="str"/>
      <x:c r="H37" s="6" t="str"/>
      <x:c r="I37" s="6" t="str">
        <x:v>Operator</x:v>
      </x:c>
      <x:c r="J37" s="6" t="str">
        <x:v>Vision</x:v>
      </x:c>
    </x:row>
    <x:row r="38" ht="27" customHeight="1">
      <x:c r="A38" s="6" t="str">
        <x:v>STATUS_CAPPER_READY</x:v>
      </x:c>
      <x:c r="B38" s="6" t="str">
        <x:v>DB_IO.Inputs.CapperReady</x:v>
      </x:c>
      <x:c r="C38" s="6" t="str">
        <x:v>Read only</x:v>
      </x:c>
      <x:c r="D38" s="6" t="str">
        <x:v>No</x:v>
      </x:c>
      <x:c r="E38" s="6" t="str"/>
      <x:c r="F38" s="6" t="str"/>
      <x:c r="G38" s="6" t="str"/>
      <x:c r="H38" s="6" t="str"/>
      <x:c r="I38" s="6" t="str">
        <x:v>Operator</x:v>
      </x:c>
      <x:c r="J38" s="6" t="str">
        <x:v>Diagnostics</x:v>
      </x:c>
    </x:row>
    <x:row r="39" ht="27" customHeight="1">
      <x:c r="A39" s="6" t="str">
        <x:v>STATUS_CAPPER_BUSY</x:v>
      </x:c>
      <x:c r="B39" s="6" t="str">
        <x:v>DB_IO.Inputs.CapperBusy</x:v>
      </x:c>
      <x:c r="C39" s="6" t="str">
        <x:v>Read only</x:v>
      </x:c>
      <x:c r="D39" s="6" t="str">
        <x:v>No</x:v>
      </x:c>
      <x:c r="E39" s="6" t="str"/>
      <x:c r="F39" s="6" t="str"/>
      <x:c r="G39" s="6" t="str"/>
      <x:c r="H39" s="6" t="str"/>
      <x:c r="I39" s="6" t="str">
        <x:v>Operator</x:v>
      </x:c>
      <x:c r="J39" s="6" t="str">
        <x:v>Diagnostics</x:v>
      </x:c>
    </x:row>
    <x:row r="40" ht="27" customHeight="1">
      <x:c r="A40" s="6" t="str">
        <x:v>STATUS_CAPPER_COMPLETE</x:v>
      </x:c>
      <x:c r="B40" s="6" t="str">
        <x:v>DB_IO.Inputs.CapperComplete</x:v>
      </x:c>
      <x:c r="C40" s="6" t="str">
        <x:v>Read only</x:v>
      </x:c>
      <x:c r="D40" s="6" t="str">
        <x:v>No</x:v>
      </x:c>
      <x:c r="E40" s="6" t="str"/>
      <x:c r="F40" s="6" t="str"/>
      <x:c r="G40" s="6" t="str"/>
      <x:c r="H40" s="6" t="str"/>
      <x:c r="I40" s="6" t="str">
        <x:v>Operator</x:v>
      </x:c>
      <x:c r="J40" s="6" t="str">
        <x:v>Diagnostics</x:v>
      </x:c>
    </x:row>
    <x:row r="41" ht="27" customHeight="1">
      <x:c r="A41" s="6" t="str">
        <x:v>STATUS_CAPPER_FAULT</x:v>
      </x:c>
      <x:c r="B41" s="6" t="str">
        <x:v>DB_IO.Inputs.CapperFault</x:v>
      </x:c>
      <x:c r="C41" s="6" t="str">
        <x:v>Read only</x:v>
      </x:c>
      <x:c r="D41" s="6" t="str">
        <x:v>No</x:v>
      </x:c>
      <x:c r="E41" s="6" t="str"/>
      <x:c r="F41" s="6" t="str"/>
      <x:c r="G41" s="6" t="str"/>
      <x:c r="H41" s="6" t="str"/>
      <x:c r="I41" s="6" t="str">
        <x:v>Operator</x:v>
      </x:c>
      <x:c r="J41" s="6" t="str">
        <x:v>Diagnostics</x:v>
      </x:c>
    </x:row>
    <x:row r="42" ht="27" customHeight="1">
      <x:c r="A42" s="6" t="str">
        <x:v>STATUS_HMI_COMMUNICATIONS_HEALTHY</x:v>
      </x:c>
      <x:c r="B42" s="6" t="str">
        <x:v>DB_HMI.CommunicationsHealthy</x:v>
      </x:c>
      <x:c r="C42" s="6" t="str">
        <x:v>Read only</x:v>
      </x:c>
      <x:c r="D42" s="6" t="str">
        <x:v>No</x:v>
      </x:c>
      <x:c r="E42" s="6" t="str"/>
      <x:c r="F42" s="6" t="str"/>
      <x:c r="G42" s="6" t="str"/>
      <x:c r="H42" s="6" t="str"/>
      <x:c r="I42" s="6" t="str">
        <x:v>Operator</x:v>
      </x:c>
      <x:c r="J42" s="6" t="str">
        <x:v>Diagnostics</x:v>
      </x:c>
    </x:row>
    <x:row r="43" ht="27" customHeight="1">
      <x:c r="A43" s="6" t="str">
        <x:v>CMD_START</x:v>
      </x:c>
      <x:c r="B43" s="6" t="str">
        <x:v>DB_HMI.Start.Request</x:v>
      </x:c>
      <x:c r="C43" s="6" t="str">
        <x:v>Write request only</x:v>
      </x:c>
      <x:c r="D43" s="6" t="str">
        <x:v>Yes</x:v>
      </x:c>
      <x:c r="E43" s="6" t="str">
        <x:v>DB_HMI.Start.RequestSeq</x:v>
      </x:c>
      <x:c r="F43" s="6" t="str">
        <x:v>DB_HMI.Start.AcceptedSeq</x:v>
      </x:c>
      <x:c r="G43" s="6" t="str">
        <x:v>DB_HMI.Start.RejectedSeq</x:v>
      </x:c>
      <x:c r="H43" s="6" t="str">
        <x:v>DB_HMI.Start.DisabledReason</x:v>
      </x:c>
      <x:c r="I43" s="6" t="str">
        <x:v>Operator</x:v>
      </x:c>
      <x:c r="J43" s="6" t="str">
        <x:v>Overview</x:v>
      </x:c>
    </x:row>
    <x:row r="44" ht="27" customHeight="1">
      <x:c r="A44" s="6" t="str">
        <x:v>CMD_CONTROLLED_STOP</x:v>
      </x:c>
      <x:c r="B44" s="6" t="str">
        <x:v>DB_HMI.ControlledStop.Request</x:v>
      </x:c>
      <x:c r="C44" s="6" t="str">
        <x:v>Write request only</x:v>
      </x:c>
      <x:c r="D44" s="6" t="str">
        <x:v>Yes</x:v>
      </x:c>
      <x:c r="E44" s="6" t="str">
        <x:v>DB_HMI.ControlledStop.RequestSeq</x:v>
      </x:c>
      <x:c r="F44" s="6" t="str">
        <x:v>DB_HMI.ControlledStop.AcceptedSeq</x:v>
      </x:c>
      <x:c r="G44" s="6" t="str">
        <x:v>DB_HMI.ControlledStop.RejectedSeq</x:v>
      </x:c>
      <x:c r="H44" s="6" t="str">
        <x:v>DB_HMI.ControlledStop.DisabledReason</x:v>
      </x:c>
      <x:c r="I44" s="6" t="str">
        <x:v>Operator</x:v>
      </x:c>
      <x:c r="J44" s="6" t="str">
        <x:v>Overview</x:v>
      </x:c>
    </x:row>
    <x:row r="45" ht="27" customHeight="1">
      <x:c r="A45" s="6" t="str">
        <x:v>CMD_RESET</x:v>
      </x:c>
      <x:c r="B45" s="6" t="str">
        <x:v>DB_HMI.Reset.Request</x:v>
      </x:c>
      <x:c r="C45" s="6" t="str">
        <x:v>Write request only</x:v>
      </x:c>
      <x:c r="D45" s="6" t="str">
        <x:v>Yes</x:v>
      </x:c>
      <x:c r="E45" s="6" t="str">
        <x:v>DB_HMI.Reset.RequestSeq</x:v>
      </x:c>
      <x:c r="F45" s="6" t="str">
        <x:v>DB_HMI.Reset.AcceptedSeq</x:v>
      </x:c>
      <x:c r="G45" s="6" t="str">
        <x:v>DB_HMI.Reset.RejectedSeq</x:v>
      </x:c>
      <x:c r="H45" s="6" t="str">
        <x:v>DB_HMI.Reset.DisabledReason</x:v>
      </x:c>
      <x:c r="I45" s="6" t="str">
        <x:v>Operator</x:v>
      </x:c>
      <x:c r="J45" s="6" t="str">
        <x:v>Overview</x:v>
      </x:c>
    </x:row>
    <x:row r="46" ht="27" customHeight="1">
      <x:c r="A46" s="6" t="str">
        <x:v>CMD_ALARM_ACK</x:v>
      </x:c>
      <x:c r="B46" s="6" t="str">
        <x:v>DB_HMI.AlarmAck.Request</x:v>
      </x:c>
      <x:c r="C46" s="6" t="str">
        <x:v>Write request only</x:v>
      </x:c>
      <x:c r="D46" s="6" t="str">
        <x:v>Yes</x:v>
      </x:c>
      <x:c r="E46" s="6" t="str">
        <x:v>DB_HMI.AlarmAck.RequestSeq</x:v>
      </x:c>
      <x:c r="F46" s="6" t="str">
        <x:v>DB_HMI.AlarmAck.AcceptedSeq</x:v>
      </x:c>
      <x:c r="G46" s="6" t="str">
        <x:v>DB_HMI.AlarmAck.RejectedSeq</x:v>
      </x:c>
      <x:c r="H46" s="6" t="str">
        <x:v>DB_HMI.AlarmAck.DisabledReason</x:v>
      </x:c>
      <x:c r="I46" s="6" t="str">
        <x:v>Operator</x:v>
      </x:c>
      <x:c r="J46" s="6" t="str">
        <x:v>Alarms</x:v>
      </x:c>
    </x:row>
    <x:row r="47" ht="27" customHeight="1">
      <x:c r="A47" s="6" t="str">
        <x:v>CMD_AUTO_MODE</x:v>
      </x:c>
      <x:c r="B47" s="6" t="str">
        <x:v>DB_HMI.AutoMode.Request</x:v>
      </x:c>
      <x:c r="C47" s="6" t="str">
        <x:v>Write request only</x:v>
      </x:c>
      <x:c r="D47" s="6" t="str">
        <x:v>Yes</x:v>
      </x:c>
      <x:c r="E47" s="6" t="str">
        <x:v>DB_HMI.AutoMode.RequestSeq</x:v>
      </x:c>
      <x:c r="F47" s="6" t="str">
        <x:v>DB_HMI.AutoMode.AcceptedSeq</x:v>
      </x:c>
      <x:c r="G47" s="6" t="str">
        <x:v>DB_HMI.AutoMode.RejectedSeq</x:v>
      </x:c>
      <x:c r="H47" s="6" t="str">
        <x:v>DB_HMI.AutoMode.DisabledReason</x:v>
      </x:c>
      <x:c r="I47" s="6" t="str">
        <x:v>Operator</x:v>
      </x:c>
      <x:c r="J47" s="6" t="str">
        <x:v>Overview</x:v>
      </x:c>
    </x:row>
    <x:row r="48" ht="27" customHeight="1">
      <x:c r="A48" s="6" t="str">
        <x:v>CMD_MANUAL_MODE</x:v>
      </x:c>
      <x:c r="B48" s="6" t="str">
        <x:v>DB_HMI.ManualMode.Request</x:v>
      </x:c>
      <x:c r="C48" s="6" t="str">
        <x:v>Write request only</x:v>
      </x:c>
      <x:c r="D48" s="6" t="str">
        <x:v>Yes</x:v>
      </x:c>
      <x:c r="E48" s="6" t="str">
        <x:v>DB_HMI.ManualMode.RequestSeq</x:v>
      </x:c>
      <x:c r="F48" s="6" t="str">
        <x:v>DB_HMI.ManualMode.AcceptedSeq</x:v>
      </x:c>
      <x:c r="G48" s="6" t="str">
        <x:v>DB_HMI.ManualMode.RejectedSeq</x:v>
      </x:c>
      <x:c r="H48" s="6" t="str">
        <x:v>DB_HMI.ManualMode.DisabledReason</x:v>
      </x:c>
      <x:c r="I48" s="6" t="str">
        <x:v>Maintenance</x:v>
      </x:c>
      <x:c r="J48" s="6" t="str">
        <x:v>Manual</x:v>
      </x:c>
    </x:row>
    <x:row r="49" ht="27" customHeight="1">
      <x:c r="A49" s="6" t="str">
        <x:v>CMD_DISPOSITION_REMOVED</x:v>
      </x:c>
      <x:c r="B49" s="6" t="str">
        <x:v>DB_HMI.DispositionRemoved.Request</x:v>
      </x:c>
      <x:c r="C49" s="6" t="str">
        <x:v>Write request only</x:v>
      </x:c>
      <x:c r="D49" s="6" t="str">
        <x:v>Yes</x:v>
      </x:c>
      <x:c r="E49" s="6" t="str">
        <x:v>DB_HMI.DispositionRemoved.RequestSeq</x:v>
      </x:c>
      <x:c r="F49" s="6" t="str">
        <x:v>DB_HMI.DispositionRemoved.AcceptedSeq</x:v>
      </x:c>
      <x:c r="G49" s="6" t="str">
        <x:v>DB_HMI.DispositionRemoved.RejectedSeq</x:v>
      </x:c>
      <x:c r="H49" s="6" t="str">
        <x:v>DB_HMI.DispositionRemoved.DisabledReason</x:v>
      </x:c>
      <x:c r="I49" s="6" t="str">
        <x:v>Supervisor</x:v>
      </x:c>
      <x:c r="J49" s="6" t="str">
        <x:v>Holding</x:v>
      </x:c>
    </x:row>
    <x:row r="50" ht="27" customHeight="1">
      <x:c r="A50" s="6" t="str">
        <x:v>CMD_RECIPE_APPLY</x:v>
      </x:c>
      <x:c r="B50" s="6" t="str">
        <x:v>DB_HMI.RecipeApply.Request</x:v>
      </x:c>
      <x:c r="C50" s="6" t="str">
        <x:v>Write request only</x:v>
      </x:c>
      <x:c r="D50" s="6" t="str">
        <x:v>Yes</x:v>
      </x:c>
      <x:c r="E50" s="6" t="str">
        <x:v>DB_HMI.RecipeApply.RequestSeq</x:v>
      </x:c>
      <x:c r="F50" s="6" t="str">
        <x:v>DB_HMI.RecipeApply.AcceptedSeq</x:v>
      </x:c>
      <x:c r="G50" s="6" t="str">
        <x:v>DB_HMI.RecipeApply.RejectedSeq</x:v>
      </x:c>
      <x:c r="H50" s="6" t="str">
        <x:v>DB_HMI.RecipeApply.DisabledReason</x:v>
      </x:c>
      <x:c r="I50" s="6" t="str">
        <x:v>Supervisor</x:v>
      </x:c>
      <x:c r="J50" s="6" t="str">
        <x:v>Recipes</x:v>
      </x:c>
    </x:row>
    <x:row r="51" ht="27" customHeight="1">
      <x:c r="A51" s="6" t="str">
        <x:v>HOLD_MANUALCONVEYORJOG</x:v>
      </x:c>
      <x:c r="B51" s="6" t="str">
        <x:v>DB_HMI.ManualConveyorJog.Request</x:v>
      </x:c>
      <x:c r="C51" s="6" t="str">
        <x:v>Write while pressed; PLC heartbeat supervised</x:v>
      </x:c>
      <x:c r="D51" s="6" t="str">
        <x:v>Yes - hold to run</x:v>
      </x:c>
      <x:c r="E51" s="6" t="str"/>
      <x:c r="F51" s="6" t="str"/>
      <x:c r="G51" s="6" t="str"/>
      <x:c r="H51" s="6" t="str">
        <x:v>DB_HMI.ManualConveyorJog.DisabledReason</x:v>
      </x:c>
      <x:c r="I51" s="6" t="str">
        <x:v>Maintenance</x:v>
      </x:c>
      <x:c r="J51" s="6" t="str">
        <x:v>Manual</x:v>
      </x:c>
    </x:row>
    <x:row r="52" ht="27" customHeight="1">
      <x:c r="A52" s="6" t="str">
        <x:v>HOLD_MANUALPUMPJOG</x:v>
      </x:c>
      <x:c r="B52" s="6" t="str">
        <x:v>DB_HMI.ManualPumpJog.Request</x:v>
      </x:c>
      <x:c r="C52" s="6" t="str">
        <x:v>Write while pressed; PLC heartbeat supervised</x:v>
      </x:c>
      <x:c r="D52" s="6" t="str">
        <x:v>Yes - hold to run</x:v>
      </x:c>
      <x:c r="E52" s="6" t="str"/>
      <x:c r="F52" s="6" t="str"/>
      <x:c r="G52" s="6" t="str"/>
      <x:c r="H52" s="6" t="str">
        <x:v>DB_HMI.ManualPumpJog.DisabledReason</x:v>
      </x:c>
      <x:c r="I52" s="6" t="str">
        <x:v>Maintenance</x:v>
      </x:c>
      <x:c r="J52" s="6" t="str">
        <x:v>Manual</x:v>
      </x:c>
    </x:row>
    <x:row r="53" ht="27" customHeight="1">
      <x:c r="A53" s="6" t="str">
        <x:v>HOLD_MANUALVALVE1</x:v>
      </x:c>
      <x:c r="B53" s="6" t="str">
        <x:v>DB_HMI.ManualValve1.Request</x:v>
      </x:c>
      <x:c r="C53" s="6" t="str">
        <x:v>Write while pressed; PLC heartbeat supervised</x:v>
      </x:c>
      <x:c r="D53" s="6" t="str">
        <x:v>Yes - hold to run</x:v>
      </x:c>
      <x:c r="E53" s="6" t="str"/>
      <x:c r="F53" s="6" t="str"/>
      <x:c r="G53" s="6" t="str"/>
      <x:c r="H53" s="6" t="str">
        <x:v>DB_HMI.ManualValve1.DisabledReason</x:v>
      </x:c>
      <x:c r="I53" s="6" t="str">
        <x:v>Maintenance</x:v>
      </x:c>
      <x:c r="J53" s="6" t="str">
        <x:v>Manual</x:v>
      </x:c>
    </x:row>
    <x:row r="54" ht="27" customHeight="1">
      <x:c r="A54" s="6" t="str">
        <x:v>HOLD_MANUALVALVE2</x:v>
      </x:c>
      <x:c r="B54" s="6" t="str">
        <x:v>DB_HMI.ManualValve2.Request</x:v>
      </x:c>
      <x:c r="C54" s="6" t="str">
        <x:v>Write while pressed; PLC heartbeat supervised</x:v>
      </x:c>
      <x:c r="D54" s="6" t="str">
        <x:v>Yes - hold to run</x:v>
      </x:c>
      <x:c r="E54" s="6" t="str"/>
      <x:c r="F54" s="6" t="str"/>
      <x:c r="G54" s="6" t="str"/>
      <x:c r="H54" s="6" t="str">
        <x:v>DB_HMI.ManualValve2.DisabledReason</x:v>
      </x:c>
      <x:c r="I54" s="6" t="str">
        <x:v>Maintenance</x:v>
      </x:c>
      <x:c r="J54" s="6" t="str">
        <x:v>Manual</x:v>
      </x:c>
    </x:row>
    <x:row r="55" ht="27" customHeight="1">
      <x:c r="A55" s="6" t="str">
        <x:v>HOLD_MANUALSECURE</x:v>
      </x:c>
      <x:c r="B55" s="6" t="str">
        <x:v>DB_HMI.ManualSecure.Request</x:v>
      </x:c>
      <x:c r="C55" s="6" t="str">
        <x:v>Write while pressed; PLC heartbeat supervised</x:v>
      </x:c>
      <x:c r="D55" s="6" t="str">
        <x:v>Yes - hold to run</x:v>
      </x:c>
      <x:c r="E55" s="6" t="str"/>
      <x:c r="F55" s="6" t="str"/>
      <x:c r="G55" s="6" t="str"/>
      <x:c r="H55" s="6" t="str">
        <x:v>DB_HMI.ManualSecure.DisabledReason</x:v>
      </x:c>
      <x:c r="I55" s="6" t="str">
        <x:v>Maintenance</x:v>
      </x:c>
      <x:c r="J55" s="6" t="str">
        <x:v>Manual</x:v>
      </x:c>
    </x:row>
    <x:row r="56" ht="27" customHeight="1">
      <x:c r="A56" s="6" t="str">
        <x:v>RECIPE_CANDIDATE_RECIPEID</x:v>
      </x:c>
      <x:c r="B56" s="6" t="str">
        <x:v>DB_Recipe.Candidate.RecipeId</x:v>
      </x:c>
      <x:c r="C56" s="6" t="str">
        <x:v>Supervisor write; committed only by sequenced RecipeApply</x:v>
      </x:c>
      <x:c r="D56" s="6" t="str">
        <x:v>No</x:v>
      </x:c>
      <x:c r="E56" s="6" t="str"/>
      <x:c r="F56" s="6" t="str"/>
      <x:c r="G56" s="6" t="str"/>
      <x:c r="H56" s="6" t="str">
        <x:v>DB_HMI.RecipeApply.DisabledReason</x:v>
      </x:c>
      <x:c r="I56" s="6" t="str">
        <x:v>Supervisor</x:v>
      </x:c>
      <x:c r="J56" s="6" t="str">
        <x:v>Recipes</x:v>
      </x:c>
    </x:row>
    <x:row r="57" ht="27" customHeight="1">
      <x:c r="A57" s="6" t="str">
        <x:v>RECIPE_CANDIDATE_TARGETMLCH1</x:v>
      </x:c>
      <x:c r="B57" s="6" t="str">
        <x:v>DB_Recipe.Candidate.TargetMlCh1</x:v>
      </x:c>
      <x:c r="C57" s="6" t="str">
        <x:v>Supervisor write; committed only by sequenced RecipeApply</x:v>
      </x:c>
      <x:c r="D57" s="6" t="str">
        <x:v>No</x:v>
      </x:c>
      <x:c r="E57" s="6" t="str"/>
      <x:c r="F57" s="6" t="str"/>
      <x:c r="G57" s="6" t="str"/>
      <x:c r="H57" s="6" t="str">
        <x:v>DB_HMI.RecipeApply.DisabledReason</x:v>
      </x:c>
      <x:c r="I57" s="6" t="str">
        <x:v>Supervisor</x:v>
      </x:c>
      <x:c r="J57" s="6" t="str">
        <x:v>Recipes</x:v>
      </x:c>
    </x:row>
    <x:row r="58" ht="27" customHeight="1">
      <x:c r="A58" s="6" t="str">
        <x:v>RECIPE_CANDIDATE_TARGETMLCH2</x:v>
      </x:c>
      <x:c r="B58" s="6" t="str">
        <x:v>DB_Recipe.Candidate.TargetMlCh2</x:v>
      </x:c>
      <x:c r="C58" s="6" t="str">
        <x:v>Supervisor write; committed only by sequenced RecipeApply</x:v>
      </x:c>
      <x:c r="D58" s="6" t="str">
        <x:v>No</x:v>
      </x:c>
      <x:c r="E58" s="6" t="str"/>
      <x:c r="F58" s="6" t="str"/>
      <x:c r="G58" s="6" t="str"/>
      <x:c r="H58" s="6" t="str">
        <x:v>DB_HMI.RecipeApply.DisabledReason</x:v>
      </x:c>
      <x:c r="I58" s="6" t="str">
        <x:v>Supervisor</x:v>
      </x:c>
      <x:c r="J58" s="6" t="str">
        <x:v>Recipes</x:v>
      </x:c>
    </x:row>
    <x:row r="59" ht="27" customHeight="1">
      <x:c r="A59" s="6" t="str">
        <x:v>RECIPE_CANDIDATE_PULSESPERLITRECH1</x:v>
      </x:c>
      <x:c r="B59" s="6" t="str">
        <x:v>DB_Recipe.Candidate.PulsesPerLitreCh1</x:v>
      </x:c>
      <x:c r="C59" s="6" t="str">
        <x:v>Supervisor write; committed only by sequenced RecipeApply</x:v>
      </x:c>
      <x:c r="D59" s="6" t="str">
        <x:v>No</x:v>
      </x:c>
      <x:c r="E59" s="6" t="str"/>
      <x:c r="F59" s="6" t="str"/>
      <x:c r="G59" s="6" t="str"/>
      <x:c r="H59" s="6" t="str">
        <x:v>DB_HMI.RecipeApply.DisabledReason</x:v>
      </x:c>
      <x:c r="I59" s="6" t="str">
        <x:v>Supervisor</x:v>
      </x:c>
      <x:c r="J59" s="6" t="str">
        <x:v>Recipes</x:v>
      </x:c>
    </x:row>
    <x:row r="60" ht="27" customHeight="1">
      <x:c r="A60" s="6" t="str">
        <x:v>RECIPE_CANDIDATE_PULSESPERLITRECH2</x:v>
      </x:c>
      <x:c r="B60" s="6" t="str">
        <x:v>DB_Recipe.Candidate.PulsesPerLitreCh2</x:v>
      </x:c>
      <x:c r="C60" s="6" t="str">
        <x:v>Supervisor write; committed only by sequenced RecipeApply</x:v>
      </x:c>
      <x:c r="D60" s="6" t="str">
        <x:v>No</x:v>
      </x:c>
      <x:c r="E60" s="6" t="str"/>
      <x:c r="F60" s="6" t="str"/>
      <x:c r="G60" s="6" t="str"/>
      <x:c r="H60" s="6" t="str">
        <x:v>DB_HMI.RecipeApply.DisabledReason</x:v>
      </x:c>
      <x:c r="I60" s="6" t="str">
        <x:v>Supervisor</x:v>
      </x:c>
      <x:c r="J60" s="6" t="str">
        <x:v>Recipes</x:v>
      </x:c>
    </x:row>
    <x:row r="61" ht="27" customHeight="1">
      <x:c r="A61" s="6" t="str">
        <x:v>RECIPE_CANDIDATE_UNDERTOLERANCEML</x:v>
      </x:c>
      <x:c r="B61" s="6" t="str">
        <x:v>DB_Recipe.Candidate.UnderToleranceMl</x:v>
      </x:c>
      <x:c r="C61" s="6" t="str">
        <x:v>Supervisor write; committed only by sequenced RecipeApply</x:v>
      </x:c>
      <x:c r="D61" s="6" t="str">
        <x:v>No</x:v>
      </x:c>
      <x:c r="E61" s="6" t="str"/>
      <x:c r="F61" s="6" t="str"/>
      <x:c r="G61" s="6" t="str"/>
      <x:c r="H61" s="6" t="str">
        <x:v>DB_HMI.RecipeApply.DisabledReason</x:v>
      </x:c>
      <x:c r="I61" s="6" t="str">
        <x:v>Supervisor</x:v>
      </x:c>
      <x:c r="J61" s="6" t="str">
        <x:v>Recipes</x:v>
      </x:c>
    </x:row>
    <x:row r="62" ht="27" customHeight="1">
      <x:c r="A62" s="6" t="str">
        <x:v>RECIPE_CANDIDATE_OVERTOLERANCEML</x:v>
      </x:c>
      <x:c r="B62" s="6" t="str">
        <x:v>DB_Recipe.Candidate.OverToleranceMl</x:v>
      </x:c>
      <x:c r="C62" s="6" t="str">
        <x:v>Supervisor write; committed only by sequenced RecipeApply</x:v>
      </x:c>
      <x:c r="D62" s="6" t="str">
        <x:v>No</x:v>
      </x:c>
      <x:c r="E62" s="6" t="str"/>
      <x:c r="F62" s="6" t="str"/>
      <x:c r="G62" s="6" t="str"/>
      <x:c r="H62" s="6" t="str">
        <x:v>DB_HMI.RecipeApply.DisabledReason</x:v>
      </x:c>
      <x:c r="I62" s="6" t="str">
        <x:v>Supervisor</x:v>
      </x:c>
      <x:c r="J62" s="6" t="str">
        <x:v>Recipes</x:v>
      </x:c>
    </x:row>
    <x:row r="63" ht="27" customHeight="1">
      <x:c r="A63" s="6" t="str">
        <x:v>RECIPE_CANDIDATE_NOFLOWTIMEOUT</x:v>
      </x:c>
      <x:c r="B63" s="6" t="str">
        <x:v>DB_Recipe.Candidate.NoFlowTimeout</x:v>
      </x:c>
      <x:c r="C63" s="6" t="str">
        <x:v>Supervisor write; committed only by sequenced RecipeApply</x:v>
      </x:c>
      <x:c r="D63" s="6" t="str">
        <x:v>No</x:v>
      </x:c>
      <x:c r="E63" s="6" t="str"/>
      <x:c r="F63" s="6" t="str"/>
      <x:c r="G63" s="6" t="str"/>
      <x:c r="H63" s="6" t="str">
        <x:v>DB_HMI.RecipeApply.DisabledReason</x:v>
      </x:c>
      <x:c r="I63" s="6" t="str">
        <x:v>Supervisor</x:v>
      </x:c>
      <x:c r="J63" s="6" t="str">
        <x:v>Recipes</x:v>
      </x:c>
    </x:row>
    <x:row r="64" ht="27" customHeight="1">
      <x:c r="A64" s="6" t="str">
        <x:v>RECIPE_CANDIDATE_FILLTIMEOUT</x:v>
      </x:c>
      <x:c r="B64" s="6" t="str">
        <x:v>DB_Recipe.Candidate.FillTimeout</x:v>
      </x:c>
      <x:c r="C64" s="6" t="str">
        <x:v>Supervisor write; committed only by sequenced RecipeApply</x:v>
      </x:c>
      <x:c r="D64" s="6" t="str">
        <x:v>No</x:v>
      </x:c>
      <x:c r="E64" s="6" t="str"/>
      <x:c r="F64" s="6" t="str"/>
      <x:c r="G64" s="6" t="str"/>
      <x:c r="H64" s="6" t="str">
        <x:v>DB_HMI.RecipeApply.DisabledReason</x:v>
      </x:c>
      <x:c r="I64" s="6" t="str">
        <x:v>Supervisor</x:v>
      </x:c>
      <x:c r="J64" s="6" t="str">
        <x:v>Recipes</x:v>
      </x:c>
    </x:row>
    <x:row r="65" ht="27" customHeight="1">
      <x:c r="A65" s="6" t="str">
        <x:v>RECIPE_CANDIDATE_VALVEOPENTIMEOUT</x:v>
      </x:c>
      <x:c r="B65" s="6" t="str">
        <x:v>DB_Recipe.Candidate.ValveOpenTimeout</x:v>
      </x:c>
      <x:c r="C65" s="6" t="str">
        <x:v>Supervisor write; committed only by sequenced RecipeApply</x:v>
      </x:c>
      <x:c r="D65" s="6" t="str">
        <x:v>No</x:v>
      </x:c>
      <x:c r="E65" s="6" t="str"/>
      <x:c r="F65" s="6" t="str"/>
      <x:c r="G65" s="6" t="str"/>
      <x:c r="H65" s="6" t="str">
        <x:v>DB_HMI.RecipeApply.DisabledReason</x:v>
      </x:c>
      <x:c r="I65" s="6" t="str">
        <x:v>Supervisor</x:v>
      </x:c>
      <x:c r="J65" s="6" t="str">
        <x:v>Recipes</x:v>
      </x:c>
    </x:row>
    <x:row r="66" ht="27" customHeight="1">
      <x:c r="A66" s="6" t="str">
        <x:v>RECIPE_CANDIDATE_VALVECLOSETIMEOUT</x:v>
      </x:c>
      <x:c r="B66" s="6" t="str">
        <x:v>DB_Recipe.Candidate.ValveCloseTimeout</x:v>
      </x:c>
      <x:c r="C66" s="6" t="str">
        <x:v>Supervisor write; committed only by sequenced RecipeApply</x:v>
      </x:c>
      <x:c r="D66" s="6" t="str">
        <x:v>No</x:v>
      </x:c>
      <x:c r="E66" s="6" t="str"/>
      <x:c r="F66" s="6" t="str"/>
      <x:c r="G66" s="6" t="str"/>
      <x:c r="H66" s="6" t="str">
        <x:v>DB_HMI.RecipeApply.DisabledReason</x:v>
      </x:c>
      <x:c r="I66" s="6" t="str">
        <x:v>Supervisor</x:v>
      </x:c>
      <x:c r="J66" s="6" t="str">
        <x:v>Recipes</x:v>
      </x:c>
    </x:row>
    <x:row r="67" ht="27" customHeight="1">
      <x:c r="A67" s="6" t="str">
        <x:v>RECIPE_CANDIDATE_PLAUSIBILITYTIME</x:v>
      </x:c>
      <x:c r="B67" s="6" t="str">
        <x:v>DB_Recipe.Candidate.PlausibilityTime</x:v>
      </x:c>
      <x:c r="C67" s="6" t="str">
        <x:v>Supervisor write; committed only by sequenced RecipeApply</x:v>
      </x:c>
      <x:c r="D67" s="6" t="str">
        <x:v>No</x:v>
      </x:c>
      <x:c r="E67" s="6" t="str"/>
      <x:c r="F67" s="6" t="str"/>
      <x:c r="G67" s="6" t="str"/>
      <x:c r="H67" s="6" t="str">
        <x:v>DB_HMI.RecipeApply.DisabledReason</x:v>
      </x:c>
      <x:c r="I67" s="6" t="str">
        <x:v>Supervisor</x:v>
      </x:c>
      <x:c r="J67" s="6" t="str">
        <x:v>Recipes</x:v>
      </x:c>
    </x:row>
    <x:row r="68" ht="27" customHeight="1">
      <x:c r="A68" s="6" t="str">
        <x:v>RECIPE_CANDIDATE_PULSEWINDOWTIMES</x:v>
      </x:c>
      <x:c r="B68" s="6" t="str">
        <x:v>DB_Recipe.Candidate.PulseWindowTimeS</x:v>
      </x:c>
      <x:c r="C68" s="6" t="str">
        <x:v>Supervisor write; committed only by sequenced RecipeApply</x:v>
      </x:c>
      <x:c r="D68" s="6" t="str">
        <x:v>No</x:v>
      </x:c>
      <x:c r="E68" s="6" t="str"/>
      <x:c r="F68" s="6" t="str"/>
      <x:c r="G68" s="6" t="str"/>
      <x:c r="H68" s="6" t="str">
        <x:v>DB_HMI.RecipeApply.DisabledReason</x:v>
      </x:c>
      <x:c r="I68" s="6" t="str">
        <x:v>Supervisor</x:v>
      </x:c>
      <x:c r="J68" s="6" t="str">
        <x:v>Recipes</x:v>
      </x:c>
    </x:row>
    <x:row r="69" ht="27" customHeight="1">
      <x:c r="A69" s="6" t="str">
        <x:v>RECIPE_CANDIDATE_DRIPSETTLETIME</x:v>
      </x:c>
      <x:c r="B69" s="6" t="str">
        <x:v>DB_Recipe.Candidate.DripSettleTime</x:v>
      </x:c>
      <x:c r="C69" s="6" t="str">
        <x:v>Supervisor write; committed only by sequenced RecipeApply</x:v>
      </x:c>
      <x:c r="D69" s="6" t="str">
        <x:v>No</x:v>
      </x:c>
      <x:c r="E69" s="6" t="str"/>
      <x:c r="F69" s="6" t="str"/>
      <x:c r="G69" s="6" t="str"/>
      <x:c r="H69" s="6" t="str">
        <x:v>DB_HMI.RecipeApply.DisabledReason</x:v>
      </x:c>
      <x:c r="I69" s="6" t="str">
        <x:v>Supervisor</x:v>
      </x:c>
      <x:c r="J69" s="6" t="str">
        <x:v>Recipes</x:v>
      </x:c>
    </x:row>
    <x:row r="70" ht="27" customHeight="1">
      <x:c r="A70" s="6" t="str">
        <x:v>RECIPE_CANDIDATE_VISIONTIMEOUT</x:v>
      </x:c>
      <x:c r="B70" s="6" t="str">
        <x:v>DB_Recipe.Candidate.VisionTimeout</x:v>
      </x:c>
      <x:c r="C70" s="6" t="str">
        <x:v>Supervisor write; committed only by sequenced RecipeApply</x:v>
      </x:c>
      <x:c r="D70" s="6" t="str">
        <x:v>No</x:v>
      </x:c>
      <x:c r="E70" s="6" t="str"/>
      <x:c r="F70" s="6" t="str"/>
      <x:c r="G70" s="6" t="str"/>
      <x:c r="H70" s="6" t="str">
        <x:v>DB_HMI.RecipeApply.DisabledReason</x:v>
      </x:c>
      <x:c r="I70" s="6" t="str">
        <x:v>Supervisor</x:v>
      </x:c>
      <x:c r="J70" s="6" t="str">
        <x:v>Recipes</x:v>
      </x:c>
    </x:row>
    <x:row r="71" ht="27" customHeight="1">
      <x:c r="A71" s="6" t="str">
        <x:v>RECIPE_CANDIDATE_TARGETFILLLEVEL</x:v>
      </x:c>
      <x:c r="B71" s="6" t="str">
        <x:v>DB_Recipe.Candidate.TargetFillLevel</x:v>
      </x:c>
      <x:c r="C71" s="6" t="str">
        <x:v>Supervisor write; committed only by sequenced RecipeApply</x:v>
      </x:c>
      <x:c r="D71" s="6" t="str">
        <x:v>No</x:v>
      </x:c>
      <x:c r="E71" s="6" t="str"/>
      <x:c r="F71" s="6" t="str"/>
      <x:c r="G71" s="6" t="str"/>
      <x:c r="H71" s="6" t="str">
        <x:v>DB_HMI.RecipeApply.DisabledReason</x:v>
      </x:c>
      <x:c r="I71" s="6" t="str">
        <x:v>Supervisor</x:v>
      </x:c>
      <x:c r="J71" s="6" t="str">
        <x:v>Recipes</x:v>
      </x:c>
    </x:row>
    <x:row r="72" ht="27" customHeight="1">
      <x:c r="A72" s="6" t="str">
        <x:v>HMI_COMMAND_HEARTBEAT</x:v>
      </x:c>
      <x:c r="B72" s="6" t="str">
        <x:v>DB_HMI.CommandHeartbeat</x:v>
      </x:c>
      <x:c r="C72" s="6" t="str">
        <x:v>Write heartbeat counter only</x:v>
      </x:c>
      <x:c r="D72" s="6" t="str">
        <x:v>No</x:v>
      </x:c>
      <x:c r="E72" s="6" t="str"/>
      <x:c r="F72" s="6" t="str"/>
      <x:c r="G72" s="6" t="str"/>
      <x:c r="H72" s="6" t="str"/>
      <x:c r="I72" s="6" t="str">
        <x:v>System</x:v>
      </x:c>
      <x:c r="J72" s="6" t="str">
        <x:v>System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alarm_id</x:v>
      </x:c>
      <x:c r="B1" s="12" t="str">
        <x:v>message</x:v>
      </x:c>
      <x:c r="C1" s="12" t="str">
        <x:v>class</x:v>
      </x:c>
      <x:c r="D1" s="12" t="str">
        <x:v>response</x:v>
      </x:c>
      <x:c r="E1" s="12" t="str">
        <x:v>ack_required</x:v>
      </x:c>
      <x:c r="F1" s="12" t="str">
        <x:v>reset_condition</x:v>
      </x:c>
    </x:row>
    <x:row r="2" ht="54" customHeight="1">
      <x:c r="A2" s="6" t="str">
        <x:v>1001</x:v>
      </x:c>
      <x:c r="B2" s="6" t="str">
        <x:v>Emergency/safety chain not healthy</x:v>
      </x:c>
      <x:c r="C2" s="6" t="str">
        <x:v>Fault</x:v>
      </x:c>
      <x:c r="D2" s="6" t="str">
        <x:v>De-energize controlled outputs; external safety restoration and reset required</x:v>
      </x:c>
      <x:c r="E2" s="6" t="str">
        <x:v>Yes</x:v>
      </x:c>
      <x:c r="F2" s="6" t="str">
        <x:v>Cause cleared and explicit reset; never automatic restart</x:v>
      </x:c>
    </x:row>
    <x:row r="3" ht="54" customHeight="1">
      <x:c r="A3" s="6" t="str">
        <x:v>1002</x:v>
      </x:c>
      <x:c r="B3" s="6" t="str">
        <x:v>Air pressure lost</x:v>
      </x:c>
      <x:c r="C3" s="6" t="str">
        <x:v>Fault</x:v>
      </x:c>
      <x:c r="D3" s="6" t="str">
        <x:v>Abort fill, close valves, stop pump and hold</x:v>
      </x:c>
      <x:c r="E3" s="6" t="str">
        <x:v>Yes</x:v>
      </x:c>
      <x:c r="F3" s="6" t="str">
        <x:v>Cause cleared and explicit reset; never automatic restart</x:v>
      </x:c>
    </x:row>
    <x:row r="4" ht="54" customHeight="1">
      <x:c r="A4" s="6" t="str">
        <x:v>1003</x:v>
      </x:c>
      <x:c r="B4" s="6" t="str">
        <x:v>Product supply lost</x:v>
      </x:c>
      <x:c r="C4" s="6" t="str">
        <x:v>Fault</x:v>
      </x:c>
      <x:c r="D4" s="6" t="str">
        <x:v>Abort fill, close valves, stop pump and hold</x:v>
      </x:c>
      <x:c r="E4" s="6" t="str">
        <x:v>Yes</x:v>
      </x:c>
      <x:c r="F4" s="6" t="str">
        <x:v>Cause cleared and explicit reset; never automatic restart</x:v>
      </x:c>
    </x:row>
    <x:row r="5" ht="54" customHeight="1">
      <x:c r="A5" s="6" t="str">
        <x:v>1004</x:v>
      </x:c>
      <x:c r="B5" s="6" t="str">
        <x:v>Guard status not closed</x:v>
      </x:c>
      <x:c r="C5" s="6" t="str">
        <x:v>Fault</x:v>
      </x:c>
      <x:c r="D5" s="6" t="str">
        <x:v>De-energize standard motion/process commands; qualified safety design remains external</x:v>
      </x:c>
      <x:c r="E5" s="6" t="str">
        <x:v>Yes</x:v>
      </x:c>
      <x:c r="F5" s="6" t="str">
        <x:v>Cause cleared and explicit reset; never automatic restart</x:v>
      </x:c>
    </x:row>
    <x:row r="6" ht="54" customHeight="1">
      <x:c r="A6" s="6" t="str">
        <x:v>1101</x:v>
      </x:c>
      <x:c r="B6" s="6" t="str">
        <x:v>Conveyor VFD fault or PN I/O invalid</x:v>
      </x:c>
      <x:c r="C6" s="6" t="str">
        <x:v>Fault</x:v>
      </x:c>
      <x:c r="D6" s="6" t="str">
        <x:v>Stop motion and hold</x:v>
      </x:c>
      <x:c r="E6" s="6" t="str">
        <x:v>Yes</x:v>
      </x:c>
      <x:c r="F6" s="6" t="str">
        <x:v>Cause cleared and explicit reset; never automatic restart</x:v>
      </x:c>
    </x:row>
    <x:row r="7" ht="54" customHeight="1">
      <x:c r="A7" s="6" t="str">
        <x:v>1102</x:v>
      </x:c>
      <x:c r="B7" s="6" t="str">
        <x:v>Pump VFD fault or PN I/O invalid</x:v>
      </x:c>
      <x:c r="C7" s="6" t="str">
        <x:v>Fault</x:v>
      </x:c>
      <x:c r="D7" s="6" t="str">
        <x:v>Close valves, stop pump request and hold</x:v>
      </x:c>
      <x:c r="E7" s="6" t="str">
        <x:v>Yes</x:v>
      </x:c>
      <x:c r="F7" s="6" t="str">
        <x:v>Cause cleared and explicit reset; never automatic restart</x:v>
      </x:c>
    </x:row>
    <x:row r="8" ht="54" customHeight="1">
      <x:c r="A8" s="6" t="str">
        <x:v>1201</x:v>
      </x:c>
      <x:c r="B8" s="6" t="str">
        <x:v>Gate feedback contradiction or travel timeout</x:v>
      </x:c>
      <x:c r="C8" s="6" t="str">
        <x:v>Fault</x:v>
      </x:c>
      <x:c r="D8" s="6" t="str">
        <x:v>Stop conveyor and hold</x:v>
      </x:c>
      <x:c r="E8" s="6" t="str">
        <x:v>Yes</x:v>
      </x:c>
      <x:c r="F8" s="6" t="str">
        <x:v>Cause cleared and explicit reset; never automatic restart</x:v>
      </x:c>
    </x:row>
    <x:row r="9" ht="54" customHeight="1">
      <x:c r="A9" s="6" t="str">
        <x:v>1202</x:v>
      </x:c>
      <x:c r="B9" s="6" t="str">
        <x:v>Clamp feedback contradiction or travel timeout</x:v>
      </x:c>
      <x:c r="C9" s="6" t="str">
        <x:v>Fault</x:v>
      </x:c>
      <x:c r="D9" s="6" t="str">
        <x:v>Close valves, stop pump and hold</x:v>
      </x:c>
      <x:c r="E9" s="6" t="str">
        <x:v>Yes</x:v>
      </x:c>
      <x:c r="F9" s="6" t="str">
        <x:v>Cause cleared and explicit reset; never automatic restart</x:v>
      </x:c>
    </x:row>
    <x:row r="10" ht="54" customHeight="1">
      <x:c r="A10" s="6" t="str">
        <x:v>1301</x:v>
      </x:c>
      <x:c r="B10" s="6" t="str">
        <x:v>Fill channel 1 no flow</x:v>
      </x:c>
      <x:c r="C10" s="6" t="str">
        <x:v>Fault</x:v>
      </x:c>
      <x:c r="D10" s="6" t="str">
        <x:v>Close channel 1; stop pump when both valves closed; quality hold</x:v>
      </x:c>
      <x:c r="E10" s="6" t="str">
        <x:v>Yes</x:v>
      </x:c>
      <x:c r="F10" s="6" t="str">
        <x:v>Cause cleared and explicit reset; never automatic restart</x:v>
      </x:c>
    </x:row>
    <x:row r="11" ht="54" customHeight="1">
      <x:c r="A11" s="6" t="str">
        <x:v>1303</x:v>
      </x:c>
      <x:c r="B11" s="6" t="str">
        <x:v>Fill channel 1 pulse/analog disagreement</x:v>
      </x:c>
      <x:c r="C11" s="6" t="str">
        <x:v>Fault</x:v>
      </x:c>
      <x:c r="D11" s="6" t="str">
        <x:v>Close channel 1; stop pump when both valves closed; quality hold</x:v>
      </x:c>
      <x:c r="E11" s="6" t="str">
        <x:v>Yes</x:v>
      </x:c>
      <x:c r="F11" s="6" t="str">
        <x:v>Cause cleared and explicit reset; never automatic restart</x:v>
      </x:c>
    </x:row>
    <x:row r="12" ht="54" customHeight="1">
      <x:c r="A12" s="6" t="str">
        <x:v>1304</x:v>
      </x:c>
      <x:c r="B12" s="6" t="str">
        <x:v>Fill channel 1 underfill</x:v>
      </x:c>
      <x:c r="C12" s="6" t="str">
        <x:v>Fault</x:v>
      </x:c>
      <x:c r="D12" s="6" t="str">
        <x:v>Close channel 1; stop pump when both valves closed; quality hold</x:v>
      </x:c>
      <x:c r="E12" s="6" t="str">
        <x:v>Yes</x:v>
      </x:c>
      <x:c r="F12" s="6" t="str">
        <x:v>Cause cleared and explicit reset; never automatic restart</x:v>
      </x:c>
    </x:row>
    <x:row r="13" ht="54" customHeight="1">
      <x:c r="A13" s="6" t="str">
        <x:v>1305</x:v>
      </x:c>
      <x:c r="B13" s="6" t="str">
        <x:v>Fill channel 1 overfill</x:v>
      </x:c>
      <x:c r="C13" s="6" t="str">
        <x:v>Fault</x:v>
      </x:c>
      <x:c r="D13" s="6" t="str">
        <x:v>Close channel 1; stop pump when both valves closed; quality hold</x:v>
      </x:c>
      <x:c r="E13" s="6" t="str">
        <x:v>Yes</x:v>
      </x:c>
      <x:c r="F13" s="6" t="str">
        <x:v>Cause cleared and explicit reset; never automatic restart</x:v>
      </x:c>
    </x:row>
    <x:row r="14" ht="54" customHeight="1">
      <x:c r="A14" s="6" t="str">
        <x:v>1306</x:v>
      </x:c>
      <x:c r="B14" s="6" t="str">
        <x:v>Fill channel 1 valve close mismatch</x:v>
      </x:c>
      <x:c r="C14" s="6" t="str">
        <x:v>Fault</x:v>
      </x:c>
      <x:c r="D14" s="6" t="str">
        <x:v>Close channel 1; stop pump when both valves closed; quality hold</x:v>
      </x:c>
      <x:c r="E14" s="6" t="str">
        <x:v>Yes</x:v>
      </x:c>
      <x:c r="F14" s="6" t="str">
        <x:v>Cause cleared and explicit reset; never automatic restart</x:v>
      </x:c>
    </x:row>
    <x:row r="15" ht="54" customHeight="1">
      <x:c r="A15" s="6" t="str">
        <x:v>1307</x:v>
      </x:c>
      <x:c r="B15" s="6" t="str">
        <x:v>Fill channel 1 analog channel broken wire</x:v>
      </x:c>
      <x:c r="C15" s="6" t="str">
        <x:v>Fault</x:v>
      </x:c>
      <x:c r="D15" s="6" t="str">
        <x:v>Close channel 1; stop pump when both valves closed; quality hold</x:v>
      </x:c>
      <x:c r="E15" s="6" t="str">
        <x:v>Yes</x:v>
      </x:c>
      <x:c r="F15" s="6" t="str">
        <x:v>Cause cleared and explicit reset; never automatic restart</x:v>
      </x:c>
    </x:row>
    <x:row r="16" ht="54" customHeight="1">
      <x:c r="A16" s="6" t="str">
        <x:v>1308</x:v>
      </x:c>
      <x:c r="B16" s="6" t="str">
        <x:v>Fill channel 1 valve open mismatch</x:v>
      </x:c>
      <x:c r="C16" s="6" t="str">
        <x:v>Fault</x:v>
      </x:c>
      <x:c r="D16" s="6" t="str">
        <x:v>Close channel 1; stop pump when both valves closed; quality hold</x:v>
      </x:c>
      <x:c r="E16" s="6" t="str">
        <x:v>Yes</x:v>
      </x:c>
      <x:c r="F16" s="6" t="str">
        <x:v>Cause cleared and explicit reset; never automatic restart</x:v>
      </x:c>
    </x:row>
    <x:row r="17" ht="54" customHeight="1">
      <x:c r="A17" s="6" t="str">
        <x:v>1309</x:v>
      </x:c>
      <x:c r="B17" s="6" t="str">
        <x:v>Fill channel 1 continued flow after close</x:v>
      </x:c>
      <x:c r="C17" s="6" t="str">
        <x:v>Fault</x:v>
      </x:c>
      <x:c r="D17" s="6" t="str">
        <x:v>Close channel 1; stop pump when both valves closed; quality hold</x:v>
      </x:c>
      <x:c r="E17" s="6" t="str">
        <x:v>Yes</x:v>
      </x:c>
      <x:c r="F17" s="6" t="str">
        <x:v>Cause cleared and explicit reset; never automatic restart</x:v>
      </x:c>
    </x:row>
    <x:row r="18" ht="54" customHeight="1">
      <x:c r="A18" s="6" t="str">
        <x:v>1310</x:v>
      </x:c>
      <x:c r="B18" s="6" t="str">
        <x:v>Fill channel 1 invalid configuration/fill timeout/abort</x:v>
      </x:c>
      <x:c r="C18" s="6" t="str">
        <x:v>Fault</x:v>
      </x:c>
      <x:c r="D18" s="6" t="str">
        <x:v>Close channel 1; stop pump when both valves closed; quality hold</x:v>
      </x:c>
      <x:c r="E18" s="6" t="str">
        <x:v>Yes</x:v>
      </x:c>
      <x:c r="F18" s="6" t="str">
        <x:v>Cause cleared and explicit reset; never automatic restart</x:v>
      </x:c>
    </x:row>
    <x:row r="19" ht="54" customHeight="1">
      <x:c r="A19" s="6" t="str">
        <x:v>1311</x:v>
      </x:c>
      <x:c r="B19" s="6" t="str">
        <x:v>Fill channel 2 no flow</x:v>
      </x:c>
      <x:c r="C19" s="6" t="str">
        <x:v>Fault</x:v>
      </x:c>
      <x:c r="D19" s="6" t="str">
        <x:v>Close channel 2; stop pump when both valves closed; quality hold</x:v>
      </x:c>
      <x:c r="E19" s="6" t="str">
        <x:v>Yes</x:v>
      </x:c>
      <x:c r="F19" s="6" t="str">
        <x:v>Cause cleared and explicit reset; never automatic restart</x:v>
      </x:c>
    </x:row>
    <x:row r="20" ht="54" customHeight="1">
      <x:c r="A20" s="6" t="str">
        <x:v>1313</x:v>
      </x:c>
      <x:c r="B20" s="6" t="str">
        <x:v>Fill channel 2 pulse/analog disagreement</x:v>
      </x:c>
      <x:c r="C20" s="6" t="str">
        <x:v>Fault</x:v>
      </x:c>
      <x:c r="D20" s="6" t="str">
        <x:v>Close channel 2; stop pump when both valves closed; quality hold</x:v>
      </x:c>
      <x:c r="E20" s="6" t="str">
        <x:v>Yes</x:v>
      </x:c>
      <x:c r="F20" s="6" t="str">
        <x:v>Cause cleared and explicit reset; never automatic restart</x:v>
      </x:c>
    </x:row>
    <x:row r="21" ht="54" customHeight="1">
      <x:c r="A21" s="6" t="str">
        <x:v>1314</x:v>
      </x:c>
      <x:c r="B21" s="6" t="str">
        <x:v>Fill channel 2 underfill</x:v>
      </x:c>
      <x:c r="C21" s="6" t="str">
        <x:v>Fault</x:v>
      </x:c>
      <x:c r="D21" s="6" t="str">
        <x:v>Close channel 2; stop pump when both valves closed; quality hold</x:v>
      </x:c>
      <x:c r="E21" s="6" t="str">
        <x:v>Yes</x:v>
      </x:c>
      <x:c r="F21" s="6" t="str">
        <x:v>Cause cleared and explicit reset; never automatic restart</x:v>
      </x:c>
    </x:row>
    <x:row r="22" ht="54" customHeight="1">
      <x:c r="A22" s="6" t="str">
        <x:v>1315</x:v>
      </x:c>
      <x:c r="B22" s="6" t="str">
        <x:v>Fill channel 2 overfill</x:v>
      </x:c>
      <x:c r="C22" s="6" t="str">
        <x:v>Fault</x:v>
      </x:c>
      <x:c r="D22" s="6" t="str">
        <x:v>Close channel 2; stop pump when both valves closed; quality hold</x:v>
      </x:c>
      <x:c r="E22" s="6" t="str">
        <x:v>Yes</x:v>
      </x:c>
      <x:c r="F22" s="6" t="str">
        <x:v>Cause cleared and explicit reset; never automatic restart</x:v>
      </x:c>
    </x:row>
    <x:row r="23" ht="54" customHeight="1">
      <x:c r="A23" s="6" t="str">
        <x:v>1316</x:v>
      </x:c>
      <x:c r="B23" s="6" t="str">
        <x:v>Fill channel 2 valve close mismatch</x:v>
      </x:c>
      <x:c r="C23" s="6" t="str">
        <x:v>Fault</x:v>
      </x:c>
      <x:c r="D23" s="6" t="str">
        <x:v>Close channel 2; stop pump when both valves closed; quality hold</x:v>
      </x:c>
      <x:c r="E23" s="6" t="str">
        <x:v>Yes</x:v>
      </x:c>
      <x:c r="F23" s="6" t="str">
        <x:v>Cause cleared and explicit reset; never automatic restart</x:v>
      </x:c>
    </x:row>
    <x:row r="24" ht="54" customHeight="1">
      <x:c r="A24" s="6" t="str">
        <x:v>1317</x:v>
      </x:c>
      <x:c r="B24" s="6" t="str">
        <x:v>Fill channel 2 analog channel broken wire</x:v>
      </x:c>
      <x:c r="C24" s="6" t="str">
        <x:v>Fault</x:v>
      </x:c>
      <x:c r="D24" s="6" t="str">
        <x:v>Close channel 2; stop pump when both valves closed; quality hold</x:v>
      </x:c>
      <x:c r="E24" s="6" t="str">
        <x:v>Yes</x:v>
      </x:c>
      <x:c r="F24" s="6" t="str">
        <x:v>Cause cleared and explicit reset; never automatic restart</x:v>
      </x:c>
    </x:row>
    <x:row r="25" ht="54" customHeight="1">
      <x:c r="A25" s="6" t="str">
        <x:v>1318</x:v>
      </x:c>
      <x:c r="B25" s="6" t="str">
        <x:v>Fill channel 2 valve open mismatch</x:v>
      </x:c>
      <x:c r="C25" s="6" t="str">
        <x:v>Fault</x:v>
      </x:c>
      <x:c r="D25" s="6" t="str">
        <x:v>Close channel 2; stop pump when both valves closed; quality hold</x:v>
      </x:c>
      <x:c r="E25" s="6" t="str">
        <x:v>Yes</x:v>
      </x:c>
      <x:c r="F25" s="6" t="str">
        <x:v>Cause cleared and explicit reset; never automatic restart</x:v>
      </x:c>
    </x:row>
    <x:row r="26" ht="54" customHeight="1">
      <x:c r="A26" s="6" t="str">
        <x:v>1319</x:v>
      </x:c>
      <x:c r="B26" s="6" t="str">
        <x:v>Fill channel 2 continued flow after close</x:v>
      </x:c>
      <x:c r="C26" s="6" t="str">
        <x:v>Fault</x:v>
      </x:c>
      <x:c r="D26" s="6" t="str">
        <x:v>Close channel 2; stop pump when both valves closed; quality hold</x:v>
      </x:c>
      <x:c r="E26" s="6" t="str">
        <x:v>Yes</x:v>
      </x:c>
      <x:c r="F26" s="6" t="str">
        <x:v>Cause cleared and explicit reset; never automatic restart</x:v>
      </x:c>
    </x:row>
    <x:row r="27" ht="54" customHeight="1">
      <x:c r="A27" s="6" t="str">
        <x:v>1320</x:v>
      </x:c>
      <x:c r="B27" s="6" t="str">
        <x:v>Fill channel 2 invalid configuration/fill timeout/abort</x:v>
      </x:c>
      <x:c r="C27" s="6" t="str">
        <x:v>Fault</x:v>
      </x:c>
      <x:c r="D27" s="6" t="str">
        <x:v>Close channel 2; stop pump when both valves closed; quality hold</x:v>
      </x:c>
      <x:c r="E27" s="6" t="str">
        <x:v>Yes</x:v>
      </x:c>
      <x:c r="F27" s="6" t="str">
        <x:v>Cause cleared and explicit reset; never automatic restart</x:v>
      </x:c>
    </x:row>
    <x:row r="28" ht="54" customHeight="1">
      <x:c r="A28" s="6" t="str">
        <x:v>1321</x:v>
      </x:c>
      <x:c r="B28" s="6" t="str">
        <x:v>Fill channel 1 pulse channel missing while analog flow is present</x:v>
      </x:c>
      <x:c r="C28" s="6" t="str">
        <x:v>Fault</x:v>
      </x:c>
      <x:c r="D28" s="6" t="str">
        <x:v>Close affected channel; remove its pump request; quality hold</x:v>
      </x:c>
      <x:c r="E28" s="6" t="str">
        <x:v>Yes</x:v>
      </x:c>
      <x:c r="F28" s="6" t="str">
        <x:v>Cause cleared and explicit reset; never automatic restart</x:v>
      </x:c>
    </x:row>
    <x:row r="29" ht="54" customHeight="1">
      <x:c r="A29" s="6" t="str">
        <x:v>1322</x:v>
      </x:c>
      <x:c r="B29" s="6" t="str">
        <x:v>Fill channel 1 analog no-flow while pulse flow is present</x:v>
      </x:c>
      <x:c r="C29" s="6" t="str">
        <x:v>Fault</x:v>
      </x:c>
      <x:c r="D29" s="6" t="str">
        <x:v>Close affected channel; remove its pump request; quality hold</x:v>
      </x:c>
      <x:c r="E29" s="6" t="str">
        <x:v>Yes</x:v>
      </x:c>
      <x:c r="F29" s="6" t="str">
        <x:v>Cause cleared and explicit reset; never automatic restart</x:v>
      </x:c>
    </x:row>
    <x:row r="30" ht="54" customHeight="1">
      <x:c r="A30" s="6" t="str">
        <x:v>1323</x:v>
      </x:c>
      <x:c r="B30" s="6" t="str">
        <x:v>Fill channel 2 pulse channel missing while analog flow is present</x:v>
      </x:c>
      <x:c r="C30" s="6" t="str">
        <x:v>Fault</x:v>
      </x:c>
      <x:c r="D30" s="6" t="str">
        <x:v>Close affected channel; remove its pump request; quality hold</x:v>
      </x:c>
      <x:c r="E30" s="6" t="str">
        <x:v>Yes</x:v>
      </x:c>
      <x:c r="F30" s="6" t="str">
        <x:v>Cause cleared and explicit reset; never automatic restart</x:v>
      </x:c>
    </x:row>
    <x:row r="31" ht="54" customHeight="1">
      <x:c r="A31" s="6" t="str">
        <x:v>1324</x:v>
      </x:c>
      <x:c r="B31" s="6" t="str">
        <x:v>Fill channel 2 analog no-flow while pulse flow is present</x:v>
      </x:c>
      <x:c r="C31" s="6" t="str">
        <x:v>Fault</x:v>
      </x:c>
      <x:c r="D31" s="6" t="str">
        <x:v>Close affected channel; remove its pump request; quality hold</x:v>
      </x:c>
      <x:c r="E31" s="6" t="str">
        <x:v>Yes</x:v>
      </x:c>
      <x:c r="F31" s="6" t="str">
        <x:v>Cause cleared and explicit reset; never automatic restart</x:v>
      </x:c>
    </x:row>
    <x:row r="32" ht="54" customHeight="1">
      <x:c r="A32" s="6" t="str">
        <x:v>1401</x:v>
      </x:c>
      <x:c r="B32" s="6" t="str">
        <x:v>Capper not ready, acceptance timeout or completion timeout</x:v>
      </x:c>
      <x:c r="C32" s="6" t="str">
        <x:v>Fault</x:v>
      </x:c>
      <x:c r="D32" s="6" t="str">
        <x:v>Keep pair controlled; operator disposition</x:v>
      </x:c>
      <x:c r="E32" s="6" t="str">
        <x:v>Yes</x:v>
      </x:c>
      <x:c r="F32" s="6" t="str">
        <x:v>Cause cleared and explicit reset; never automatic restart</x:v>
      </x:c>
    </x:row>
    <x:row r="33" ht="54" customHeight="1">
      <x:c r="A33" s="6" t="str">
        <x:v>1402</x:v>
      </x:c>
      <x:c r="B33" s="6" t="str">
        <x:v>Capper reported fault or invalid handshake order</x:v>
      </x:c>
      <x:c r="C33" s="6" t="str">
        <x:v>Fault</x:v>
      </x:c>
      <x:c r="D33" s="6" t="str">
        <x:v>Keep pair controlled; operator disposition</x:v>
      </x:c>
      <x:c r="E33" s="6" t="str">
        <x:v>Yes</x:v>
      </x:c>
      <x:c r="F33" s="6" t="str">
        <x:v>Cause cleared and explicit reset; never automatic restart</x:v>
      </x:c>
    </x:row>
    <x:row r="34" ht="54" customHeight="1">
      <x:c r="A34" s="6" t="str">
        <x:v>1501</x:v>
      </x:c>
      <x:c r="B34" s="6" t="str">
        <x:v>Vision not ready</x:v>
      </x:c>
      <x:c r="C34" s="6" t="str">
        <x:v>Fault</x:v>
      </x:c>
      <x:c r="D34" s="6" t="str">
        <x:v>Do not transfer; quality hold</x:v>
      </x:c>
      <x:c r="E34" s="6" t="str">
        <x:v>Yes</x:v>
      </x:c>
      <x:c r="F34" s="6" t="str">
        <x:v>Cause cleared and explicit reset; never automatic restart</x:v>
      </x:c>
    </x:row>
    <x:row r="35" ht="54" customHeight="1">
      <x:c r="A35" s="6" t="str">
        <x:v>1502</x:v>
      </x:c>
      <x:c r="B35" s="6" t="str">
        <x:v>Vision result timeout</x:v>
      </x:c>
      <x:c r="C35" s="6" t="str">
        <x:v>Fault</x:v>
      </x:c>
      <x:c r="D35" s="6" t="str">
        <x:v>Do not transfer; quality hold</x:v>
      </x:c>
      <x:c r="E35" s="6" t="str">
        <x:v>Yes</x:v>
      </x:c>
      <x:c r="F35" s="6" t="str">
        <x:v>Cause cleared and explicit reset; never automatic restart</x:v>
      </x:c>
    </x:row>
    <x:row r="36" ht="54" customHeight="1">
      <x:c r="A36" s="6" t="str">
        <x:v>1503</x:v>
      </x:c>
      <x:c r="B36" s="6" t="str">
        <x:v>Vision stale/mismatched result ID</x:v>
      </x:c>
      <x:c r="C36" s="6" t="str">
        <x:v>Fault</x:v>
      </x:c>
      <x:c r="D36" s="6" t="str">
        <x:v>Do not transfer; quality hold</x:v>
      </x:c>
      <x:c r="E36" s="6" t="str">
        <x:v>Yes</x:v>
      </x:c>
      <x:c r="F36" s="6" t="str">
        <x:v>Cause cleared and explicit reset; never automatic restart</x:v>
      </x:c>
    </x:row>
    <x:row r="37" ht="54" customHeight="1">
      <x:c r="A37" s="6" t="str">
        <x:v>1504</x:v>
      </x:c>
      <x:c r="B37" s="6" t="str">
        <x:v>Vision blocking quality result or low confidence</x:v>
      </x:c>
      <x:c r="C37" s="6" t="str">
        <x:v>Fault</x:v>
      </x:c>
      <x:c r="D37" s="6" t="str">
        <x:v>Do not transfer; quality hold</x:v>
      </x:c>
      <x:c r="E37" s="6" t="str">
        <x:v>Yes</x:v>
      </x:c>
      <x:c r="F37" s="6" t="str">
        <x:v>Cause cleared and explicit reset; never automatic restart</x:v>
      </x:c>
    </x:row>
    <x:row r="38" ht="54" customHeight="1">
      <x:c r="A38" s="6" t="str">
        <x:v>1505</x:v>
      </x:c>
      <x:c r="B38" s="6" t="str">
        <x:v>Vision heartbeat lost</x:v>
      </x:c>
      <x:c r="C38" s="6" t="str">
        <x:v>Fault</x:v>
      </x:c>
      <x:c r="D38" s="6" t="str">
        <x:v>Do not transfer; quality hold</x:v>
      </x:c>
      <x:c r="E38" s="6" t="str">
        <x:v>Yes</x:v>
      </x:c>
      <x:c r="F38" s="6" t="str">
        <x:v>Cause cleared and explicit reset; never automatic restart</x:v>
      </x:c>
    </x:row>
    <x:row r="39" ht="54" customHeight="1">
      <x:c r="A39" s="6" t="str">
        <x:v>1506</x:v>
      </x:c>
      <x:c r="B39" s="6" t="str">
        <x:v>Vision protocol contradiction</x:v>
      </x:c>
      <x:c r="C39" s="6" t="str">
        <x:v>Fault</x:v>
      </x:c>
      <x:c r="D39" s="6" t="str">
        <x:v>Do not transfer; quality hold</x:v>
      </x:c>
      <x:c r="E39" s="6" t="str">
        <x:v>Yes</x:v>
      </x:c>
      <x:c r="F39" s="6" t="str">
        <x:v>Cause cleared and explicit reset; never automatic restart</x:v>
      </x:c>
    </x:row>
    <x:row r="40" ht="54" customHeight="1">
      <x:c r="A40" s="6" t="str">
        <x:v>1601</x:v>
      </x:c>
      <x:c r="B40" s="6" t="str">
        <x:v>HMI command heartbeat lost</x:v>
      </x:c>
      <x:c r="C40" s="6" t="str">
        <x:v>Fault</x:v>
      </x:c>
      <x:c r="D40" s="6" t="str">
        <x:v>Reject new HMI commands and enter controlled fault handling</x:v>
      </x:c>
      <x:c r="E40" s="6" t="str">
        <x:v>Yes</x:v>
      </x:c>
      <x:c r="F40" s="6" t="str">
        <x:v>Cause cleared and explicit reset; never automatic restart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</x:cols>
  <x:sheetData>
    <x:row r="1" ht="31.5" customHeight="1">
      <x:c r="A1" s="12" t="str">
        <x:v>drive</x:v>
      </x:c>
      <x:c r="B1" s="12" t="str">
        <x:v>parameter</x:v>
      </x:c>
      <x:c r="C1" s="12" t="str">
        <x:v>value</x:v>
      </x:c>
      <x:c r="D1" s="12" t="str">
        <x:v>status</x:v>
      </x:c>
    </x:row>
    <x:row r="2" ht="27" customHeight="1">
      <x:c r="A2" s="6" t="str">
        <x:v>-U100/-U101</x:v>
      </x:c>
      <x:c r="B2" s="6" t="str">
        <x:v>Primary control</x:v>
      </x:c>
      <x:c r="C2" s="6" t="str">
        <x:v>PROFINET Standard Telegram 1</x:v>
      </x:c>
      <x:c r="D2" s="6" t="str">
        <x:v>Design baseline; native confirmation open</x:v>
      </x:c>
    </x:row>
    <x:row r="3" ht="27" customHeight="1">
      <x:c r="A3" s="6" t="str">
        <x:v>-U100/-U101</x:v>
      </x:c>
      <x:c r="B3" s="6" t="str">
        <x:v>PZD</x:v>
      </x:c>
      <x:c r="C3" s="6" t="str">
        <x:v>STW1/NSOLL_A and ZSW1/NIST_A, 2 words each direction</x:v>
      </x:c>
      <x:c r="D3" s="6" t="str">
        <x:v>Addresses controlled in drive interface schedule</x:v>
      </x:c>
    </x:row>
    <x:row r="4" ht="27" customHeight="1">
      <x:c r="A4" s="6" t="str">
        <x:v>-U100/-U101</x:v>
      </x:c>
      <x:c r="B4" s="6" t="str">
        <x:v>Scaling</x:v>
      </x:c>
      <x:c r="C4" s="6" t="str">
        <x:v>Signed 16384 = 100 percent reference speed</x:v>
      </x:c>
      <x:c r="D4" s="6" t="str">
        <x:v>Reference speed/motor data open</x:v>
      </x:c>
    </x:row>
    <x:row r="5" ht="27" customHeight="1">
      <x:c r="A5" s="6" t="str">
        <x:v>-U100/-U101</x:v>
      </x:c>
      <x:c r="B5" s="6" t="str">
        <x:v>Hardwired standard I/O</x:v>
      </x:c>
      <x:c r="C5" s="6" t="str">
        <x:v>None for run/ready/running/fault</x:v>
      </x:c>
      <x:c r="D5" s="6" t="str">
        <x:v>Removed from PLC physical I/O</x:v>
      </x:c>
    </x:row>
    <x:row r="6" ht="27" customHeight="1">
      <x:c r="A6" s="6" t="str">
        <x:v>-U100/-U101</x:v>
      </x:c>
      <x:c r="B6" s="6" t="str">
        <x:v>STO</x:v>
      </x:c>
      <x:c r="C6" s="6" t="str">
        <x:v>External conceptual safety interface only</x:v>
      </x:c>
      <x:c r="D6" s="6" t="str">
        <x:v>Qualified safety design required</x:v>
      </x:c>
    </x:row>
    <x:row r="7" ht="27" customHeight="1">
      <x:c r="A7" s="6" t="str">
        <x:v>-U100/-U101</x:v>
      </x:c>
      <x:c r="B7" s="6" t="str">
        <x:v>Ramps/current/min/max/braking/EMC</x:v>
      </x:c>
      <x:c r="C7" s="6" t="str">
        <x:v>Not selected</x:v>
      </x:c>
      <x:c r="D7" s="6" t="str">
        <x:v>Motor, mechanics, supply and cable inputs required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signal</x:v>
      </x:c>
      <x:c r="B1" s="12" t="str">
        <x:v>data_type</x:v>
      </x:c>
      <x:c r="C1" s="12" t="str">
        <x:v>owner</x:v>
      </x:c>
      <x:c r="D1" s="12" t="str">
        <x:v>meaning</x:v>
      </x:c>
      <x:c r="E1" s="12" t="str">
        <x:v>transport</x:v>
      </x:c>
      <x:c r="F1" s="12" t="str">
        <x:v>timeout_ms</x:v>
      </x:c>
    </x:row>
    <x:row r="2" ht="54" customHeight="1">
      <x:c r="A2" s="6" t="str">
        <x:v>VISION_ENABLE</x:v>
      </x:c>
      <x:c r="B2" s="6" t="str">
        <x:v>BOOL</x:v>
      </x:c>
      <x:c r="C2" s="6" t="str">
        <x:v>PLC</x:v>
      </x:c>
      <x:c r="D2" s="6" t="str">
        <x:v>Enable inspection service</x:v>
      </x:c>
      <x:c r="E2" s="6" t="str">
        <x:v>OPC UA subscribed/published node</x:v>
      </x:c>
      <x:c r="F2" s="6" t="str">
        <x:v>0</x:v>
      </x:c>
    </x:row>
    <x:row r="3" ht="54" customHeight="1">
      <x:c r="A3" s="6" t="str">
        <x:v>INSPECTION_TRIGGER</x:v>
      </x:c>
      <x:c r="B3" s="6" t="str">
        <x:v>BOOL</x:v>
      </x:c>
      <x:c r="C3" s="6" t="str">
        <x:v>PLC</x:v>
      </x:c>
      <x:c r="D3" s="6" t="str">
        <x:v>Level-held inspection request; remains true until coherent BUSY observation or terminal result for the immutable session/inspection ID</x:v>
      </x:c>
      <x:c r="E3" s="6" t="str">
        <x:v>OPC UA subscribed request level; monotonic session/ID is authoritative</x:v>
      </x:c>
      <x:c r="F3" s="6" t="str">
        <x:v>0</x:v>
      </x:c>
    </x:row>
    <x:row r="4" ht="54" customHeight="1">
      <x:c r="A4" s="6" t="str">
        <x:v>INSPECTION_ID</x:v>
      </x:c>
      <x:c r="B4" s="6" t="str">
        <x:v>UDINT</x:v>
      </x:c>
      <x:c r="C4" s="6" t="str">
        <x:v>PLC</x:v>
      </x:c>
      <x:c r="D4" s="6" t="str">
        <x:v>Monotonic correlation identifier</x:v>
      </x:c>
      <x:c r="E4" s="6" t="str">
        <x:v>OPC UA subscribed/published node</x:v>
      </x:c>
      <x:c r="F4" s="6" t="str">
        <x:v>0</x:v>
      </x:c>
    </x:row>
    <x:row r="5" ht="54" customHeight="1">
      <x:c r="A5" s="6" t="str">
        <x:v>RECIPE_ID</x:v>
      </x:c>
      <x:c r="B5" s="6" t="str">
        <x:v>UINT</x:v>
      </x:c>
      <x:c r="C5" s="6" t="str">
        <x:v>PLC</x:v>
      </x:c>
      <x:c r="D5" s="6" t="str">
        <x:v>Active recipe identifier</x:v>
      </x:c>
      <x:c r="E5" s="6" t="str">
        <x:v>OPC UA subscribed/published node</x:v>
      </x:c>
      <x:c r="F5" s="6" t="str">
        <x:v>0</x:v>
      </x:c>
    </x:row>
    <x:row r="6" ht="54" customHeight="1">
      <x:c r="A6" s="6" t="str">
        <x:v>EXPECTED_BOTTLES</x:v>
      </x:c>
      <x:c r="B6" s="6" t="str">
        <x:v>USINT</x:v>
      </x:c>
      <x:c r="C6" s="6" t="str">
        <x:v>PLC</x:v>
      </x:c>
      <x:c r="D6" s="6" t="str">
        <x:v>Expected count; fixed at 2 for production</x:v>
      </x:c>
      <x:c r="E6" s="6" t="str">
        <x:v>OPC UA subscribed/published node</x:v>
      </x:c>
      <x:c r="F6" s="6" t="str">
        <x:v>0</x:v>
      </x:c>
    </x:row>
    <x:row r="7" ht="54" customHeight="1">
      <x:c r="A7" s="6" t="str">
        <x:v>TARGET_FILL_LEVEL</x:v>
      </x:c>
      <x:c r="B7" s="6" t="str">
        <x:v>REAL</x:v>
      </x:c>
      <x:c r="C7" s="6" t="str">
        <x:v>PLC</x:v>
      </x:c>
      <x:c r="D7" s="6" t="str">
        <x:v>Normalized visible target</x:v>
      </x:c>
      <x:c r="E7" s="6" t="str">
        <x:v>OPC UA subscribed/published node</x:v>
      </x:c>
      <x:c r="F7" s="6" t="str">
        <x:v>0</x:v>
      </x:c>
    </x:row>
    <x:row r="8" ht="54" customHeight="1">
      <x:c r="A8" s="6" t="str">
        <x:v>PLC_HEARTBEAT</x:v>
      </x:c>
      <x:c r="B8" s="6" t="str">
        <x:v>UDINT</x:v>
      </x:c>
      <x:c r="C8" s="6" t="str">
        <x:v>PLC</x:v>
      </x:c>
      <x:c r="D8" s="6" t="str">
        <x:v>Monotonic heartbeat counter</x:v>
      </x:c>
      <x:c r="E8" s="6" t="str">
        <x:v>OPC UA subscribed/published node</x:v>
      </x:c>
      <x:c r="F8" s="6" t="str">
        <x:v>0</x:v>
      </x:c>
    </x:row>
    <x:row r="9" ht="54" customHeight="1">
      <x:c r="A9" s="6" t="str">
        <x:v>VISION_READY</x:v>
      </x:c>
      <x:c r="B9" s="6" t="str">
        <x:v>BOOL</x:v>
      </x:c>
      <x:c r="C9" s="6" t="str">
        <x:v>NVIDIA</x:v>
      </x:c>
      <x:c r="D9" s="6" t="str">
        <x:v>Pipeline and model ready</x:v>
      </x:c>
      <x:c r="E9" s="6" t="str">
        <x:v>OPC UA subscribed/published node</x:v>
      </x:c>
      <x:c r="F9" s="6" t="str">
        <x:v>0</x:v>
      </x:c>
    </x:row>
    <x:row r="10" ht="54" customHeight="1">
      <x:c r="A10" s="6" t="str">
        <x:v>VISION_BUSY</x:v>
      </x:c>
      <x:c r="B10" s="6" t="str">
        <x:v>BOOL</x:v>
      </x:c>
      <x:c r="C10" s="6" t="str">
        <x:v>NVIDIA</x:v>
      </x:c>
      <x:c r="D10" s="6" t="str">
        <x:v>Request in progress</x:v>
      </x:c>
      <x:c r="E10" s="6" t="str">
        <x:v>OPC UA subscribed/published node</x:v>
      </x:c>
      <x:c r="F10" s="6" t="str">
        <x:v>0</x:v>
      </x:c>
    </x:row>
    <x:row r="11" ht="54" customHeight="1">
      <x:c r="A11" s="6" t="str">
        <x:v>RESULT_VALID</x:v>
      </x:c>
      <x:c r="B11" s="6" t="str">
        <x:v>BOOL</x:v>
      </x:c>
      <x:c r="C11" s="6" t="str">
        <x:v>NVIDIA</x:v>
      </x:c>
      <x:c r="D11" s="6" t="str">
        <x:v>Result payload is complete</x:v>
      </x:c>
      <x:c r="E11" s="6" t="str">
        <x:v>OPC UA subscribed/published node</x:v>
      </x:c>
      <x:c r="F11" s="6" t="str">
        <x:v>1000</x:v>
      </x:c>
    </x:row>
    <x:row r="12" ht="54" customHeight="1">
      <x:c r="A12" s="6" t="str">
        <x:v>RESULT_ID</x:v>
      </x:c>
      <x:c r="B12" s="6" t="str">
        <x:v>UDINT</x:v>
      </x:c>
      <x:c r="C12" s="6" t="str">
        <x:v>NVIDIA</x:v>
      </x:c>
      <x:c r="D12" s="6" t="str">
        <x:v>Echoed correlation identifier</x:v>
      </x:c>
      <x:c r="E12" s="6" t="str">
        <x:v>OPC UA subscribed/published node</x:v>
      </x:c>
      <x:c r="F12" s="6" t="str">
        <x:v>0</x:v>
      </x:c>
    </x:row>
    <x:row r="13" ht="54" customHeight="1">
      <x:c r="A13" s="6" t="str">
        <x:v>BOTTLE_1_PASS</x:v>
      </x:c>
      <x:c r="B13" s="6" t="str">
        <x:v>BOOL</x:v>
      </x:c>
      <x:c r="C13" s="6" t="str">
        <x:v>NVIDIA</x:v>
      </x:c>
      <x:c r="D13" s="6" t="str">
        <x:v>Bottle 1 quality decision</x:v>
      </x:c>
      <x:c r="E13" s="6" t="str">
        <x:v>OPC UA subscribed/published node</x:v>
      </x:c>
      <x:c r="F13" s="6" t="str">
        <x:v>0</x:v>
      </x:c>
    </x:row>
    <x:row r="14" ht="54" customHeight="1">
      <x:c r="A14" s="6" t="str">
        <x:v>BOTTLE_2_PASS</x:v>
      </x:c>
      <x:c r="B14" s="6" t="str">
        <x:v>BOOL</x:v>
      </x:c>
      <x:c r="C14" s="6" t="str">
        <x:v>NVIDIA</x:v>
      </x:c>
      <x:c r="D14" s="6" t="str">
        <x:v>Bottle 2 quality decision</x:v>
      </x:c>
      <x:c r="E14" s="6" t="str">
        <x:v>OPC UA subscribed/published node</x:v>
      </x:c>
      <x:c r="F14" s="6" t="str">
        <x:v>0</x:v>
      </x:c>
    </x:row>
    <x:row r="15" ht="54" customHeight="1">
      <x:c r="A15" s="6" t="str">
        <x:v>FILL_1_STATUS</x:v>
      </x:c>
      <x:c r="B15" s="6" t="str">
        <x:v>USINT</x:v>
      </x:c>
      <x:c r="C15" s="6" t="str">
        <x:v>NVIDIA</x:v>
      </x:c>
      <x:c r="D15" s="6" t="str">
        <x:v>0 unknown, 1 under, 2 in-range, 3 over</x:v>
      </x:c>
      <x:c r="E15" s="6" t="str">
        <x:v>OPC UA subscribed/published node</x:v>
      </x:c>
      <x:c r="F15" s="6" t="str">
        <x:v>0</x:v>
      </x:c>
    </x:row>
    <x:row r="16" ht="54" customHeight="1">
      <x:c r="A16" s="6" t="str">
        <x:v>FILL_2_STATUS</x:v>
      </x:c>
      <x:c r="B16" s="6" t="str">
        <x:v>USINT</x:v>
      </x:c>
      <x:c r="C16" s="6" t="str">
        <x:v>NVIDIA</x:v>
      </x:c>
      <x:c r="D16" s="6" t="str">
        <x:v>0 unknown, 1 under, 2 in-range, 3 over</x:v>
      </x:c>
      <x:c r="E16" s="6" t="str">
        <x:v>OPC UA subscribed/published node</x:v>
      </x:c>
      <x:c r="F16" s="6" t="str">
        <x:v>0</x:v>
      </x:c>
    </x:row>
    <x:row r="17" ht="54" customHeight="1">
      <x:c r="A17" s="6" t="str">
        <x:v>LEAK_OR_SPILL_DETECTED</x:v>
      </x:c>
      <x:c r="B17" s="6" t="str">
        <x:v>BOOL</x:v>
      </x:c>
      <x:c r="C17" s="6" t="str">
        <x:v>NVIDIA</x:v>
      </x:c>
      <x:c r="D17" s="6" t="str">
        <x:v>Visible leak/spill indication</x:v>
      </x:c>
      <x:c r="E17" s="6" t="str">
        <x:v>OPC UA subscribed/published node</x:v>
      </x:c>
      <x:c r="F17" s="6" t="str">
        <x:v>0</x:v>
      </x:c>
    </x:row>
    <x:row r="18" ht="54" customHeight="1">
      <x:c r="A18" s="6" t="str">
        <x:v>LOW_CONFIDENCE</x:v>
      </x:c>
      <x:c r="B18" s="6" t="str">
        <x:v>BOOL</x:v>
      </x:c>
      <x:c r="C18" s="6" t="str">
        <x:v>NVIDIA</x:v>
      </x:c>
      <x:c r="D18" s="6" t="str">
        <x:v>Confidence below validated threshold</x:v>
      </x:c>
      <x:c r="E18" s="6" t="str">
        <x:v>OPC UA subscribed/published node</x:v>
      </x:c>
      <x:c r="F18" s="6" t="str">
        <x:v>0</x:v>
      </x:c>
    </x:row>
    <x:row r="19" ht="54" customHeight="1">
      <x:c r="A19" s="6" t="str">
        <x:v>VISION_WARNING</x:v>
      </x:c>
      <x:c r="B19" s="6" t="str">
        <x:v>BOOL</x:v>
      </x:c>
      <x:c r="C19" s="6" t="str">
        <x:v>NVIDIA</x:v>
      </x:c>
      <x:c r="D19" s="6" t="str">
        <x:v>Degraded but communicating</x:v>
      </x:c>
      <x:c r="E19" s="6" t="str">
        <x:v>OPC UA subscribed/published node</x:v>
      </x:c>
      <x:c r="F19" s="6" t="str">
        <x:v>0</x:v>
      </x:c>
    </x:row>
    <x:row r="20" ht="54" customHeight="1">
      <x:c r="A20" s="6" t="str">
        <x:v>VISION_FAULT</x:v>
      </x:c>
      <x:c r="B20" s="6" t="str">
        <x:v>BOOL</x:v>
      </x:c>
      <x:c r="C20" s="6" t="str">
        <x:v>NVIDIA</x:v>
      </x:c>
      <x:c r="D20" s="6" t="str">
        <x:v>Blocking internal fault</x:v>
      </x:c>
      <x:c r="E20" s="6" t="str">
        <x:v>OPC UA subscribed/published node</x:v>
      </x:c>
      <x:c r="F20" s="6" t="str">
        <x:v>0</x:v>
      </x:c>
    </x:row>
    <x:row r="21" ht="54" customHeight="1">
      <x:c r="A21" s="6" t="str">
        <x:v>INFERENCE_TIME</x:v>
      </x:c>
      <x:c r="B21" s="6" t="str">
        <x:v>UDINT</x:v>
      </x:c>
      <x:c r="C21" s="6" t="str">
        <x:v>NVIDIA</x:v>
      </x:c>
      <x:c r="D21" s="6" t="str">
        <x:v>Measured pipeline time in milliseconds</x:v>
      </x:c>
      <x:c r="E21" s="6" t="str">
        <x:v>OPC UA subscribed/published node</x:v>
      </x:c>
      <x:c r="F21" s="6" t="str">
        <x:v>0</x:v>
      </x:c>
    </x:row>
    <x:row r="22" ht="54" customHeight="1">
      <x:c r="A22" s="6" t="str">
        <x:v>VISION_HEARTBEAT</x:v>
      </x:c>
      <x:c r="B22" s="6" t="str">
        <x:v>UDINT</x:v>
      </x:c>
      <x:c r="C22" s="6" t="str">
        <x:v>NVIDIA</x:v>
      </x:c>
      <x:c r="D22" s="6" t="str">
        <x:v>Monotonic heartbeat counter</x:v>
      </x:c>
      <x:c r="E22" s="6" t="str">
        <x:v>OPC UA subscribed/published node</x:v>
      </x:c>
      <x:c r="F22" s="6" t="str">
        <x:v>1000</x:v>
      </x:c>
    </x:row>
    <x:row r="23" ht="54" customHeight="1">
      <x:c r="A23" s="6" t="str">
        <x:v>VISION_RESULT_ACK_ID</x:v>
      </x:c>
      <x:c r="B23" s="6" t="str">
        <x:v>UDINT</x:v>
      </x:c>
      <x:c r="C23" s="6" t="str">
        <x:v>PLC</x:v>
      </x:c>
      <x:c r="D23" s="6" t="str">
        <x:v>Acknowledges the immutable published result; edge clears RESULT_VALID only on exact match</x:v>
      </x:c>
      <x:c r="E23" s="6" t="str">
        <x:v>OPC UA subscribed node</x:v>
      </x:c>
      <x:c r="F23" s="6" t="str">
        <x:v>0</x:v>
      </x:c>
    </x:row>
    <x:row r="24" ht="54" customHeight="1">
      <x:c r="A24" s="6" t="str">
        <x:v>VISION_SESSION_EPOCH</x:v>
      </x:c>
      <x:c r="B24" s="6" t="str">
        <x:v>UDINT</x:v>
      </x:c>
      <x:c r="C24" s="6" t="str">
        <x:v>PLC</x:v>
      </x:c>
      <x:c r="D24" s="6" t="str">
        <x:v>PLC startup/session correlation; reconnect must not replay a prior-session release</x:v>
      </x:c>
      <x:c r="E24" s="6" t="str">
        <x:v>OPC UA subscribed node</x:v>
      </x:c>
      <x:c r="F24" s="6" t="str">
        <x:v>0</x:v>
      </x:c>
    </x:row>
    <x:row r="25" ht="54" customHeight="1">
      <x:c r="A25" s="6" t="str">
        <x:v>VISION_RESULT_SESSION_EPOCH</x:v>
      </x:c>
      <x:c r="B25" s="6" t="str">
        <x:v>UDINT</x:v>
      </x:c>
      <x:c r="C25" s="6" t="str">
        <x:v>NVIDIA</x:v>
      </x:c>
      <x:c r="D25" s="6" t="str">
        <x:v>Echoes the request session epoch in the immutable result; PLC rejects cross-session publication</x:v>
      </x:c>
      <x:c r="E25" s="6" t="str">
        <x:v>OPC UA published result payload</x:v>
      </x:c>
      <x:c r="F25" s="6" t="str">
        <x:v>0</x:v>
      </x:c>
    </x:row>
    <x:row r="26" ht="54" customHeight="1">
      <x:c r="A26" s="6" t="str">
        <x:v>VISION_DIAG_REASON</x:v>
      </x:c>
      <x:c r="B26" s="6" t="str">
        <x:v>UINT</x:v>
      </x:c>
      <x:c r="C26" s="6" t="str">
        <x:v>PLC</x:v>
      </x:c>
      <x:c r="D26" s="6" t="str">
        <x:v>First-out PLC interface diagnostic enumeration</x:v>
      </x:c>
      <x:c r="E26" s="6" t="str">
        <x:v>OPC UA published node</x:v>
      </x:c>
      <x:c r="F26" s="6" t="str">
        <x:v>0</x:v>
      </x:c>
    </x:row>
    <x:row r="27" ht="54" customHeight="1">
      <x:c r="A27" s="6" t="str">
        <x:v>VISION_MODEL_ID</x:v>
      </x:c>
      <x:c r="B27" s="6" t="str">
        <x:v>STRING[32]</x:v>
      </x:c>
      <x:c r="C27" s="6" t="str">
        <x:v>NVIDIA</x:v>
      </x:c>
      <x:c r="D27" s="6" t="str">
        <x:v>Controlled model identifier included in the atomic result</x:v>
      </x:c>
      <x:c r="E27" s="6" t="str">
        <x:v>OPC UA published result payload</x:v>
      </x:c>
      <x:c r="F27" s="6" t="str">
        <x:v>0</x:v>
      </x:c>
    </x:row>
    <x:row r="28" ht="54" customHeight="1">
      <x:c r="A28" s="6" t="str">
        <x:v>VISION_MODEL_SHA256</x:v>
      </x:c>
      <x:c r="B28" s="6" t="str">
        <x:v>STRING[64]</x:v>
      </x:c>
      <x:c r="C28" s="6" t="str">
        <x:v>NVIDIA</x:v>
      </x:c>
      <x:c r="D28" s="6" t="str">
        <x:v>Exact controlled model SHA-256 included in the atomic result</x:v>
      </x:c>
      <x:c r="E28" s="6" t="str">
        <x:v>OPC UA published result payload</x:v>
      </x:c>
      <x:c r="F28" s="6" t="str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</x:cols>
  <x:sheetData>
    <x:row r="1" ht="31.5" customHeight="1">
      <x:c r="A1" s="12" t="str">
        <x:v>node</x:v>
      </x:c>
      <x:c r="B1" s="12" t="str">
        <x:v>ip</x:v>
      </x:c>
      <x:c r="C1" s="12" t="str">
        <x:v>vlan</x:v>
      </x:c>
      <x:c r="D1" s="12" t="str">
        <x:v>switch_port</x:v>
      </x:c>
      <x:c r="E1" s="12" t="str">
        <x:v>zone</x:v>
      </x:c>
      <x:c r="F1" s="12" t="str">
        <x:v>owner</x:v>
      </x:c>
      <x:c r="G1" s="12" t="str">
        <x:v>role</x:v>
      </x:c>
      <x:c r="H1" s="12" t="str">
        <x:v>allowed_services</x:v>
      </x:c>
    </x:row>
    <x:row r="2" ht="27" customHeight="1">
      <x:c r="A2" s="6" t="str">
        <x:v>PLC-A100</x:v>
      </x:c>
      <x:c r="B2" s="6" t="str">
        <x:v>192.168.10.10</x:v>
      </x:c>
      <x:c r="C2" s="6" t="str">
        <x:v>10</x:v>
      </x:c>
      <x:c r="D2" s="6" t="str">
        <x:v>XC208 P1</x:v>
      </x:c>
      <x:c r="E2" s="6" t="str">
        <x:v>CONTROL</x:v>
      </x:c>
      <x:c r="F2" s="6" t="str">
        <x:v>Controls</x:v>
      </x:c>
      <x:c r="G2" s="6" t="str">
        <x:v>PROFINET controller / OPC UA server</x:v>
      </x:c>
      <x:c r="H2" s="6" t="str">
        <x:v>PROFINET local; OPC UA TCP 4840 from named vision client</x:v>
      </x:c>
    </x:row>
    <x:row r="3" ht="27" customHeight="1">
      <x:c r="A3" s="6" t="str">
        <x:v>HMI-H100</x:v>
      </x:c>
      <x:c r="B3" s="6" t="str">
        <x:v>192.168.10.20</x:v>
      </x:c>
      <x:c r="C3" s="6" t="str">
        <x:v>10</x:v>
      </x:c>
      <x:c r="D3" s="6" t="str">
        <x:v>XC208 P2</x:v>
      </x:c>
      <x:c r="E3" s="6" t="str">
        <x:v>CONTROL</x:v>
      </x:c>
      <x:c r="F3" s="6" t="str">
        <x:v>Controls</x:v>
      </x:c>
      <x:c r="G3" s="6" t="str">
        <x:v>Unified operator panel</x:v>
      </x:c>
      <x:c r="H3" s="6" t="str">
        <x:v>HMI-to-PLC only</x:v>
      </x:c>
    </x:row>
    <x:row r="4" ht="27" customHeight="1">
      <x:c r="A4" s="6" t="str">
        <x:v>VFD-U100</x:v>
      </x:c>
      <x:c r="B4" s="6" t="str">
        <x:v>192.168.10.31</x:v>
      </x:c>
      <x:c r="C4" s="6" t="str">
        <x:v>10</x:v>
      </x:c>
      <x:c r="D4" s="6" t="str">
        <x:v>XC208 P3</x:v>
      </x:c>
      <x:c r="E4" s="6" t="str">
        <x:v>CONTROL</x:v>
      </x:c>
      <x:c r="F4" s="6" t="str">
        <x:v>Drives</x:v>
      </x:c>
      <x:c r="G4" s="6" t="str">
        <x:v>Conveyor G120C PN</x:v>
      </x:c>
      <x:c r="H4" s="6" t="str">
        <x:v>PROFINET cyclic/diagnostic only</x:v>
      </x:c>
    </x:row>
    <x:row r="5" ht="27" customHeight="1">
      <x:c r="A5" s="6" t="str">
        <x:v>VFD-U101</x:v>
      </x:c>
      <x:c r="B5" s="6" t="str">
        <x:v>192.168.10.32</x:v>
      </x:c>
      <x:c r="C5" s="6" t="str">
        <x:v>10</x:v>
      </x:c>
      <x:c r="D5" s="6" t="str">
        <x:v>XC208 P4</x:v>
      </x:c>
      <x:c r="E5" s="6" t="str">
        <x:v>CONTROL</x:v>
      </x:c>
      <x:c r="F5" s="6" t="str">
        <x:v>Drives</x:v>
      </x:c>
      <x:c r="G5" s="6" t="str">
        <x:v>Pump G120C PN</x:v>
      </x:c>
      <x:c r="H5" s="6" t="str">
        <x:v>PROFINET cyclic/diagnostic only</x:v>
      </x:c>
    </x:row>
    <x:row r="6" ht="27" customHeight="1">
      <x:c r="A6" s="6" t="str">
        <x:v>VISION-PC200</x:v>
      </x:c>
      <x:c r="B6" s="6" t="str">
        <x:v>192.168.20.10</x:v>
      </x:c>
      <x:c r="C6" s="6" t="str">
        <x:v>20</x:v>
      </x:c>
      <x:c r="D6" s="6" t="str">
        <x:v>XC208 P5</x:v>
      </x:c>
      <x:c r="E6" s="6" t="str">
        <x:v>QUALITY</x:v>
      </x:c>
      <x:c r="F6" s="6" t="str">
        <x:v>Vision</x:v>
      </x:c>
      <x:c r="G6" s="6" t="str">
        <x:v>OPC UA client + inference</x:v>
      </x:c>
      <x:c r="H6" s="6" t="str">
        <x:v>OPC UA TCP 4840 to PLC; authenticated time/logging per site policy</x:v>
      </x:c>
    </x:row>
    <x:row r="7" ht="27" customHeight="1">
      <x:c r="A7" s="6" t="str">
        <x:v>ENG-SERVICE</x:v>
      </x:c>
      <x:c r="B7" s="6" t="str">
        <x:v>192.168.99.0/24</x:v>
      </x:c>
      <x:c r="C7" s="6" t="str">
        <x:v>99</x:v>
      </x:c>
      <x:c r="D7" s="6" t="str">
        <x:v>XC208 P6</x:v>
      </x:c>
      <x:c r="E7" s="6" t="str">
        <x:v>ENGINEERING</x:v>
      </x:c>
      <x:c r="F7" s="6" t="str">
        <x:v>OT</x:v>
      </x:c>
      <x:c r="G7" s="6" t="str">
        <x:v>Temporary service</x:v>
      </x:c>
      <x:c r="H7" s="6" t="str">
        <x:v>Disabled in production; approved maintenance window only</x:v>
      </x:c>
    </x:row>
    <x:row r="8" ht="27" customHeight="1">
      <x:c r="A8" s="6" t="str">
        <x:v>FW-S615</x:v>
      </x:c>
      <x:c r="B8" s="6" t="str">
        <x:v>Zone gateways</x:v>
      </x:c>
      <x:c r="C8" s="6" t="str">
        <x:v>10/20/99</x:v>
      </x:c>
      <x:c r="D8" s="6" t="str">
        <x:v>XC208 P7 trunk</x:v>
      </x:c>
      <x:c r="E8" s="6" t="str">
        <x:v>BOUNDARY</x:v>
      </x:c>
      <x:c r="F8" s="6" t="str">
        <x:v>OT security</x:v>
      </x:c>
      <x:c r="G8" s="6" t="str">
        <x:v>Router/firewall</x:v>
      </x:c>
      <x:c r="H8" s="6" t="str">
        <x:v>Deny by default; explicit stateful allow list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22.5" hidden="0" customWidth="1"/>
    <x:col min="14" max="14" width="19.3799991607666" hidden="0" customWidth="1"/>
    <x:col min="15" max="15" width="19.3799991607666" hidden="0" customWidth="1"/>
    <x:col min="16" max="16" width="19.3799991607666" hidden="0" customWidth="1"/>
    <x:col min="17" max="17" width="22.5" hidden="0" customWidth="1"/>
  </x:cols>
  <x:sheetData>
    <x:row r="1" ht="31.5" customHeight="1">
      <x:c r="A1" s="12" t="str">
        <x:v>terminal</x:v>
      </x:c>
      <x:c r="B1" s="12" t="str">
        <x:v>full_designation</x:v>
      </x:c>
      <x:c r="C1" s="12" t="str">
        <x:v>signal</x:v>
      </x:c>
      <x:c r="D1" s="12" t="str">
        <x:v>function</x:v>
      </x:c>
      <x:c r="E1" s="12" t="str">
        <x:v>cable_id</x:v>
      </x:c>
      <x:c r="F1" s="12" t="str">
        <x:v>core</x:v>
      </x:c>
      <x:c r="G1" s="12" t="str">
        <x:v>field_device</x:v>
      </x:c>
      <x:c r="H1" s="12" t="str">
        <x:v>field_designation</x:v>
      </x:c>
      <x:c r="I1" s="12" t="str">
        <x:v>field_pin</x:v>
      </x:c>
      <x:c r="J1" s="12" t="str">
        <x:v>module</x:v>
      </x:c>
      <x:c r="K1" s="12" t="str">
        <x:v>module_designation</x:v>
      </x:c>
      <x:c r="L1" s="12" t="str">
        <x:v>module_terminal</x:v>
      </x:c>
      <x:c r="M1" s="12" t="str">
        <x:v>plc_address</x:v>
      </x:c>
      <x:c r="N1" s="12" t="str">
        <x:v>potential</x:v>
      </x:c>
      <x:c r="O1" s="12" t="str">
        <x:v>wire_no</x:v>
      </x:c>
      <x:c r="P1" s="12" t="str">
        <x:v>shield_or_common</x:v>
      </x:c>
      <x:c r="Q1" s="12" t="str">
        <x:v>status</x:v>
      </x:c>
    </x:row>
    <x:row r="2" ht="27" customHeight="1">
      <x:c r="A2" s="6" t="str">
        <x:v>X100:1</x:v>
      </x:c>
      <x:c r="B2" s="6" t="str">
        <x:v>=FC01+CP01-X100</x:v>
      </x:c>
      <x:c r="C2" s="6" t="str">
        <x:v>GUARD_CLOSED_STATUS</x:v>
      </x:c>
      <x:c r="D2" s="6" t="str">
        <x:v>Guard-monitor contact signal</x:v>
      </x:c>
      <x:c r="E2" s="6" t="str">
        <x:v>C001</x:v>
      </x:c>
      <x:c r="F2" s="6" t="str">
        <x:v>1</x:v>
      </x:c>
      <x:c r="G2" s="6" t="str">
        <x:v>-S102</x:v>
      </x:c>
      <x:c r="H2" s="6" t="str">
        <x:v>=FC01+FLD-S102</x:v>
      </x:c>
      <x:c r="I2" s="6" t="str">
        <x:v>2</x:v>
      </x:c>
      <x:c r="J2" s="6" t="str">
        <x:v>-A102</x:v>
      </x:c>
      <x:c r="K2" s="6" t="str">
        <x:v>=FC01+CP01-A102</x:v>
      </x:c>
      <x:c r="L2" s="6" t="str">
        <x:v>1</x:v>
      </x:c>
      <x:c r="M2" s="6" t="str">
        <x:v>I0.1</x:v>
      </x:c>
      <x:c r="N2" s="6" t="str">
        <x:v>24 VDC switched</x:v>
      </x:c>
      <x:c r="O2" s="6" t="str">
        <x:v>W0003</x:v>
      </x:c>
      <x:c r="P2" s="6" t="str"/>
      <x:c r="Q2" s="6" t="str">
        <x:v>Controlled Rev-D topology; conductor size/terminal family and native QET continuity verification remain open</x:v>
      </x:c>
    </x:row>
    <x:row r="3" ht="27" customHeight="1">
      <x:c r="A3" s="6" t="str">
        <x:v>X100:2</x:v>
      </x:c>
      <x:c r="B3" s="6" t="str">
        <x:v>=FC01+CP01-X100</x:v>
      </x:c>
      <x:c r="C3" s="6" t="str">
        <x:v>GUARD_CLOSED_STATUS</x:v>
      </x:c>
      <x:c r="D3" s="6" t="str">
        <x:v>Guard-monitor contact supply</x:v>
      </x:c>
      <x:c r="E3" s="6" t="str">
        <x:v>C001</x:v>
      </x:c>
      <x:c r="F3" s="6" t="str">
        <x:v>2</x:v>
      </x:c>
      <x:c r="G3" s="6" t="str">
        <x:v>-S102</x:v>
      </x:c>
      <x:c r="H3" s="6" t="str">
        <x:v>=FC01+FLD-S102</x:v>
      </x:c>
      <x:c r="I3" s="6" t="str">
        <x:v>1</x:v>
      </x:c>
      <x:c r="J3" s="6" t="str">
        <x:v>-A102</x:v>
      </x:c>
      <x:c r="K3" s="6" t="str">
        <x:v>=FC01+CP01-A102</x:v>
      </x:c>
      <x:c r="L3" s="6" t="str">
        <x:v>1</x:v>
      </x:c>
      <x:c r="M3" s="6" t="str">
        <x:v>I0.1</x:v>
      </x:c>
      <x:c r="N3" s="6" t="str">
        <x:v>+24VDC fused</x:v>
      </x:c>
      <x:c r="O3" s="6" t="str">
        <x:v>W0004</x:v>
      </x:c>
      <x:c r="P3" s="6" t="str"/>
      <x:c r="Q3" s="6" t="str">
        <x:v>Controlled Rev-D topology; conductor size/terminal family and native QET continuity verification remain open</x:v>
      </x:c>
    </x:row>
    <x:row r="4" ht="27" customHeight="1">
      <x:c r="A4" s="6" t="str">
        <x:v>X100:3</x:v>
      </x:c>
      <x:c r="B4" s="6" t="str">
        <x:v>=FC01+CP01-X100</x:v>
      </x:c>
      <x:c r="C4" s="6" t="str">
        <x:v>AIR_PRESSURE_OK</x:v>
      </x:c>
      <x:c r="D4" s="6" t="str">
        <x:v>PNP signal</x:v>
      </x:c>
      <x:c r="E4" s="6" t="str">
        <x:v>C002</x:v>
      </x:c>
      <x:c r="F4" s="6" t="str">
        <x:v>1</x:v>
      </x:c>
      <x:c r="G4" s="6" t="str">
        <x:v>-B100</x:v>
      </x:c>
      <x:c r="H4" s="6" t="str">
        <x:v>=FC01+FLD-B100</x:v>
      </x:c>
      <x:c r="I4" s="6" t="str">
        <x:v>4</x:v>
      </x:c>
      <x:c r="J4" s="6" t="str">
        <x:v>-A102</x:v>
      </x:c>
      <x:c r="K4" s="6" t="str">
        <x:v>=FC01+CP01-A102</x:v>
      </x:c>
      <x:c r="L4" s="6" t="str">
        <x:v>2</x:v>
      </x:c>
      <x:c r="M4" s="6" t="str">
        <x:v>I0.2</x:v>
      </x:c>
      <x:c r="N4" s="6" t="str">
        <x:v>24 VDC switched</x:v>
      </x:c>
      <x:c r="O4" s="6" t="str">
        <x:v>W0005</x:v>
      </x:c>
      <x:c r="P4" s="6" t="str"/>
      <x:c r="Q4" s="6" t="str">
        <x:v>Controlled Rev-D topology; conductor size/terminal family and native QET continuity verification remain open</x:v>
      </x:c>
    </x:row>
    <x:row r="5" ht="27" customHeight="1">
      <x:c r="A5" s="6" t="str">
        <x:v>X100:4</x:v>
      </x:c>
      <x:c r="B5" s="6" t="str">
        <x:v>=FC01+CP01-X100</x:v>
      </x:c>
      <x:c r="C5" s="6" t="str">
        <x:v>AIR_PRESSURE_OK</x:v>
      </x:c>
      <x:c r="D5" s="6" t="str">
        <x:v>Sensor/interface supply</x:v>
      </x:c>
      <x:c r="E5" s="6" t="str">
        <x:v>C002</x:v>
      </x:c>
      <x:c r="F5" s="6" t="str">
        <x:v>2</x:v>
      </x:c>
      <x:c r="G5" s="6" t="str">
        <x:v>-B100</x:v>
      </x:c>
      <x:c r="H5" s="6" t="str">
        <x:v>=FC01+FLD-B100</x:v>
      </x:c>
      <x:c r="I5" s="6" t="str">
        <x:v>1</x:v>
      </x:c>
      <x:c r="J5" s="6" t="str">
        <x:v>-A102</x:v>
      </x:c>
      <x:c r="K5" s="6" t="str">
        <x:v>=FC01+CP01-A102</x:v>
      </x:c>
      <x:c r="L5" s="6" t="str">
        <x:v>2</x:v>
      </x:c>
      <x:c r="M5" s="6" t="str">
        <x:v>I0.2</x:v>
      </x:c>
      <x:c r="N5" s="6" t="str">
        <x:v>+24VDC fused</x:v>
      </x:c>
      <x:c r="O5" s="6" t="str">
        <x:v>W0006</x:v>
      </x:c>
      <x:c r="P5" s="6" t="str"/>
      <x:c r="Q5" s="6" t="str">
        <x:v>Controlled Rev-D topology; conductor size/terminal family and native QET continuity verification remain open</x:v>
      </x:c>
    </x:row>
    <x:row r="6" ht="27" customHeight="1">
      <x:c r="A6" s="6" t="str">
        <x:v>X100:5</x:v>
      </x:c>
      <x:c r="B6" s="6" t="str">
        <x:v>=FC01+CP01-X100</x:v>
      </x:c>
      <x:c r="C6" s="6" t="str">
        <x:v>AIR_PRESSURE_OK</x:v>
      </x:c>
      <x:c r="D6" s="6" t="str">
        <x:v>Sensor/interface return</x:v>
      </x:c>
      <x:c r="E6" s="6" t="str">
        <x:v>C002</x:v>
      </x:c>
      <x:c r="F6" s="6" t="str">
        <x:v>3</x:v>
      </x:c>
      <x:c r="G6" s="6" t="str">
        <x:v>-B100</x:v>
      </x:c>
      <x:c r="H6" s="6" t="str">
        <x:v>=FC01+FLD-B100</x:v>
      </x:c>
      <x:c r="I6" s="6" t="str">
        <x:v>3</x:v>
      </x:c>
      <x:c r="J6" s="6" t="str">
        <x:v>-A102</x:v>
      </x:c>
      <x:c r="K6" s="6" t="str">
        <x:v>=FC01+CP01-A102</x:v>
      </x:c>
      <x:c r="L6" s="6" t="str">
        <x:v>2</x:v>
      </x:c>
      <x:c r="M6" s="6" t="str">
        <x:v>I0.2</x:v>
      </x:c>
      <x:c r="N6" s="6" t="str">
        <x:v>0V</x:v>
      </x:c>
      <x:c r="O6" s="6" t="str">
        <x:v>W0007</x:v>
      </x:c>
      <x:c r="P6" s="6" t="str">
        <x:v>X0:0V</x:v>
      </x:c>
      <x:c r="Q6" s="6" t="str">
        <x:v>Controlled Rev-D topology; conductor size/terminal family and native QET continuity verification remain open</x:v>
      </x:c>
    </x:row>
    <x:row r="7" ht="27" customHeight="1">
      <x:c r="A7" s="6" t="str">
        <x:v>X100:6</x:v>
      </x:c>
      <x:c r="B7" s="6" t="str">
        <x:v>=FC01+CP01-X100</x:v>
      </x:c>
      <x:c r="C7" s="6" t="str">
        <x:v>PRODUCT_SUPPLY_OK</x:v>
      </x:c>
      <x:c r="D7" s="6" t="str">
        <x:v>PNP signal</x:v>
      </x:c>
      <x:c r="E7" s="6" t="str">
        <x:v>C003</x:v>
      </x:c>
      <x:c r="F7" s="6" t="str">
        <x:v>1</x:v>
      </x:c>
      <x:c r="G7" s="6" t="str">
        <x:v>-B101</x:v>
      </x:c>
      <x:c r="H7" s="6" t="str">
        <x:v>=FC01+FLD-B101</x:v>
      </x:c>
      <x:c r="I7" s="6" t="str">
        <x:v>4</x:v>
      </x:c>
      <x:c r="J7" s="6" t="str">
        <x:v>-A102</x:v>
      </x:c>
      <x:c r="K7" s="6" t="str">
        <x:v>=FC01+CP01-A102</x:v>
      </x:c>
      <x:c r="L7" s="6" t="str">
        <x:v>3</x:v>
      </x:c>
      <x:c r="M7" s="6" t="str">
        <x:v>I0.3</x:v>
      </x:c>
      <x:c r="N7" s="6" t="str">
        <x:v>24 VDC switched</x:v>
      </x:c>
      <x:c r="O7" s="6" t="str">
        <x:v>W0008</x:v>
      </x:c>
      <x:c r="P7" s="6" t="str"/>
      <x:c r="Q7" s="6" t="str">
        <x:v>Controlled Rev-D topology; conductor size/terminal family and native QET continuity verification remain open</x:v>
      </x:c>
    </x:row>
    <x:row r="8" ht="27" customHeight="1">
      <x:c r="A8" s="6" t="str">
        <x:v>X100:7</x:v>
      </x:c>
      <x:c r="B8" s="6" t="str">
        <x:v>=FC01+CP01-X100</x:v>
      </x:c>
      <x:c r="C8" s="6" t="str">
        <x:v>PRODUCT_SUPPLY_OK</x:v>
      </x:c>
      <x:c r="D8" s="6" t="str">
        <x:v>Sensor/interface supply</x:v>
      </x:c>
      <x:c r="E8" s="6" t="str">
        <x:v>C003</x:v>
      </x:c>
      <x:c r="F8" s="6" t="str">
        <x:v>2</x:v>
      </x:c>
      <x:c r="G8" s="6" t="str">
        <x:v>-B101</x:v>
      </x:c>
      <x:c r="H8" s="6" t="str">
        <x:v>=FC01+FLD-B101</x:v>
      </x:c>
      <x:c r="I8" s="6" t="str">
        <x:v>1</x:v>
      </x:c>
      <x:c r="J8" s="6" t="str">
        <x:v>-A102</x:v>
      </x:c>
      <x:c r="K8" s="6" t="str">
        <x:v>=FC01+CP01-A102</x:v>
      </x:c>
      <x:c r="L8" s="6" t="str">
        <x:v>3</x:v>
      </x:c>
      <x:c r="M8" s="6" t="str">
        <x:v>I0.3</x:v>
      </x:c>
      <x:c r="N8" s="6" t="str">
        <x:v>+24VDC fused</x:v>
      </x:c>
      <x:c r="O8" s="6" t="str">
        <x:v>W0009</x:v>
      </x:c>
      <x:c r="P8" s="6" t="str"/>
      <x:c r="Q8" s="6" t="str">
        <x:v>Controlled Rev-D topology; conductor size/terminal family and native QET continuity verification remain open</x:v>
      </x:c>
    </x:row>
    <x:row r="9" ht="27" customHeight="1">
      <x:c r="A9" s="6" t="str">
        <x:v>X100:8</x:v>
      </x:c>
      <x:c r="B9" s="6" t="str">
        <x:v>=FC01+CP01-X100</x:v>
      </x:c>
      <x:c r="C9" s="6" t="str">
        <x:v>PRODUCT_SUPPLY_OK</x:v>
      </x:c>
      <x:c r="D9" s="6" t="str">
        <x:v>Sensor/interface return</x:v>
      </x:c>
      <x:c r="E9" s="6" t="str">
        <x:v>C003</x:v>
      </x:c>
      <x:c r="F9" s="6" t="str">
        <x:v>3</x:v>
      </x:c>
      <x:c r="G9" s="6" t="str">
        <x:v>-B101</x:v>
      </x:c>
      <x:c r="H9" s="6" t="str">
        <x:v>=FC01+FLD-B101</x:v>
      </x:c>
      <x:c r="I9" s="6" t="str">
        <x:v>3</x:v>
      </x:c>
      <x:c r="J9" s="6" t="str">
        <x:v>-A102</x:v>
      </x:c>
      <x:c r="K9" s="6" t="str">
        <x:v>=FC01+CP01-A102</x:v>
      </x:c>
      <x:c r="L9" s="6" t="str">
        <x:v>3</x:v>
      </x:c>
      <x:c r="M9" s="6" t="str">
        <x:v>I0.3</x:v>
      </x:c>
      <x:c r="N9" s="6" t="str">
        <x:v>0V</x:v>
      </x:c>
      <x:c r="O9" s="6" t="str">
        <x:v>W0010</x:v>
      </x:c>
      <x:c r="P9" s="6" t="str">
        <x:v>X0:0V</x:v>
      </x:c>
      <x:c r="Q9" s="6" t="str">
        <x:v>Controlled Rev-D topology; conductor size/terminal family and native QET continuity verification remain open</x:v>
      </x:c>
    </x:row>
    <x:row r="10" ht="27" customHeight="1">
      <x:c r="A10" s="6" t="str">
        <x:v>X100:9</x:v>
      </x:c>
      <x:c r="B10" s="6" t="str">
        <x:v>=FC01+CP01-X100</x:v>
      </x:c>
      <x:c r="C10" s="6" t="str">
        <x:v>BOTTLE_AT_NEST_1</x:v>
      </x:c>
      <x:c r="D10" s="6" t="str">
        <x:v>PNP signal</x:v>
      </x:c>
      <x:c r="E10" s="6" t="str">
        <x:v>C004</x:v>
      </x:c>
      <x:c r="F10" s="6" t="str">
        <x:v>1</x:v>
      </x:c>
      <x:c r="G10" s="6" t="str">
        <x:v>-B110</x:v>
      </x:c>
      <x:c r="H10" s="6" t="str">
        <x:v>=FC01+FLD-B110</x:v>
      </x:c>
      <x:c r="I10" s="6" t="str">
        <x:v>4</x:v>
      </x:c>
      <x:c r="J10" s="6" t="str">
        <x:v>-A102</x:v>
      </x:c>
      <x:c r="K10" s="6" t="str">
        <x:v>=FC01+CP01-A102</x:v>
      </x:c>
      <x:c r="L10" s="6" t="str">
        <x:v>10</x:v>
      </x:c>
      <x:c r="M10" s="6" t="str">
        <x:v>I1.2</x:v>
      </x:c>
      <x:c r="N10" s="6" t="str">
        <x:v>24 VDC switched</x:v>
      </x:c>
      <x:c r="O10" s="6" t="str">
        <x:v>W0011</x:v>
      </x:c>
      <x:c r="P10" s="6" t="str"/>
      <x:c r="Q10" s="6" t="str">
        <x:v>Controlled Rev-D topology; conductor size/terminal family and native QET continuity verification remain open</x:v>
      </x:c>
    </x:row>
    <x:row r="11" ht="27" customHeight="1">
      <x:c r="A11" s="6" t="str">
        <x:v>X100:10</x:v>
      </x:c>
      <x:c r="B11" s="6" t="str">
        <x:v>=FC01+CP01-X100</x:v>
      </x:c>
      <x:c r="C11" s="6" t="str">
        <x:v>BOTTLE_AT_NEST_1</x:v>
      </x:c>
      <x:c r="D11" s="6" t="str">
        <x:v>Sensor/interface supply</x:v>
      </x:c>
      <x:c r="E11" s="6" t="str">
        <x:v>C004</x:v>
      </x:c>
      <x:c r="F11" s="6" t="str">
        <x:v>2</x:v>
      </x:c>
      <x:c r="G11" s="6" t="str">
        <x:v>-B110</x:v>
      </x:c>
      <x:c r="H11" s="6" t="str">
        <x:v>=FC01+FLD-B110</x:v>
      </x:c>
      <x:c r="I11" s="6" t="str">
        <x:v>1</x:v>
      </x:c>
      <x:c r="J11" s="6" t="str">
        <x:v>-A102</x:v>
      </x:c>
      <x:c r="K11" s="6" t="str">
        <x:v>=FC01+CP01-A102</x:v>
      </x:c>
      <x:c r="L11" s="6" t="str">
        <x:v>10</x:v>
      </x:c>
      <x:c r="M11" s="6" t="str">
        <x:v>I1.2</x:v>
      </x:c>
      <x:c r="N11" s="6" t="str">
        <x:v>+24VDC fused</x:v>
      </x:c>
      <x:c r="O11" s="6" t="str">
        <x:v>W0012</x:v>
      </x:c>
      <x:c r="P11" s="6" t="str"/>
      <x:c r="Q11" s="6" t="str">
        <x:v>Controlled Rev-D topology; conductor size/terminal family and native QET continuity verification remain open</x:v>
      </x:c>
    </x:row>
    <x:row r="12" ht="27" customHeight="1">
      <x:c r="A12" s="6" t="str">
        <x:v>X100:11</x:v>
      </x:c>
      <x:c r="B12" s="6" t="str">
        <x:v>=FC01+CP01-X100</x:v>
      </x:c>
      <x:c r="C12" s="6" t="str">
        <x:v>BOTTLE_AT_NEST_1</x:v>
      </x:c>
      <x:c r="D12" s="6" t="str">
        <x:v>Sensor/interface return</x:v>
      </x:c>
      <x:c r="E12" s="6" t="str">
        <x:v>C004</x:v>
      </x:c>
      <x:c r="F12" s="6" t="str">
        <x:v>3</x:v>
      </x:c>
      <x:c r="G12" s="6" t="str">
        <x:v>-B110</x:v>
      </x:c>
      <x:c r="H12" s="6" t="str">
        <x:v>=FC01+FLD-B110</x:v>
      </x:c>
      <x:c r="I12" s="6" t="str">
        <x:v>3</x:v>
      </x:c>
      <x:c r="J12" s="6" t="str">
        <x:v>-A102</x:v>
      </x:c>
      <x:c r="K12" s="6" t="str">
        <x:v>=FC01+CP01-A102</x:v>
      </x:c>
      <x:c r="L12" s="6" t="str">
        <x:v>10</x:v>
      </x:c>
      <x:c r="M12" s="6" t="str">
        <x:v>I1.2</x:v>
      </x:c>
      <x:c r="N12" s="6" t="str">
        <x:v>0V</x:v>
      </x:c>
      <x:c r="O12" s="6" t="str">
        <x:v>W0013</x:v>
      </x:c>
      <x:c r="P12" s="6" t="str">
        <x:v>X0:0V</x:v>
      </x:c>
      <x:c r="Q12" s="6" t="str">
        <x:v>Controlled Rev-D topology; conductor size/terminal family and native QET continuity verification remain open</x:v>
      </x:c>
    </x:row>
    <x:row r="13" ht="27" customHeight="1">
      <x:c r="A13" s="6" t="str">
        <x:v>X100:12</x:v>
      </x:c>
      <x:c r="B13" s="6" t="str">
        <x:v>=FC01+CP01-X100</x:v>
      </x:c>
      <x:c r="C13" s="6" t="str">
        <x:v>BOTTLE_AT_NEST_2</x:v>
      </x:c>
      <x:c r="D13" s="6" t="str">
        <x:v>PNP signal</x:v>
      </x:c>
      <x:c r="E13" s="6" t="str">
        <x:v>C005</x:v>
      </x:c>
      <x:c r="F13" s="6" t="str">
        <x:v>1</x:v>
      </x:c>
      <x:c r="G13" s="6" t="str">
        <x:v>-B111</x:v>
      </x:c>
      <x:c r="H13" s="6" t="str">
        <x:v>=FC01+FLD-B111</x:v>
      </x:c>
      <x:c r="I13" s="6" t="str">
        <x:v>4</x:v>
      </x:c>
      <x:c r="J13" s="6" t="str">
        <x:v>-A102</x:v>
      </x:c>
      <x:c r="K13" s="6" t="str">
        <x:v>=FC01+CP01-A102</x:v>
      </x:c>
      <x:c r="L13" s="6" t="str">
        <x:v>11</x:v>
      </x:c>
      <x:c r="M13" s="6" t="str">
        <x:v>I1.3</x:v>
      </x:c>
      <x:c r="N13" s="6" t="str">
        <x:v>24 VDC switched</x:v>
      </x:c>
      <x:c r="O13" s="6" t="str">
        <x:v>W0014</x:v>
      </x:c>
      <x:c r="P13" s="6" t="str"/>
      <x:c r="Q13" s="6" t="str">
        <x:v>Controlled Rev-D topology; conductor size/terminal family and native QET continuity verification remain open</x:v>
      </x:c>
    </x:row>
    <x:row r="14" ht="27" customHeight="1">
      <x:c r="A14" s="6" t="str">
        <x:v>X100:13</x:v>
      </x:c>
      <x:c r="B14" s="6" t="str">
        <x:v>=FC01+CP01-X100</x:v>
      </x:c>
      <x:c r="C14" s="6" t="str">
        <x:v>BOTTLE_AT_NEST_2</x:v>
      </x:c>
      <x:c r="D14" s="6" t="str">
        <x:v>Sensor/interface supply</x:v>
      </x:c>
      <x:c r="E14" s="6" t="str">
        <x:v>C005</x:v>
      </x:c>
      <x:c r="F14" s="6" t="str">
        <x:v>2</x:v>
      </x:c>
      <x:c r="G14" s="6" t="str">
        <x:v>-B111</x:v>
      </x:c>
      <x:c r="H14" s="6" t="str">
        <x:v>=FC01+FLD-B111</x:v>
      </x:c>
      <x:c r="I14" s="6" t="str">
        <x:v>1</x:v>
      </x:c>
      <x:c r="J14" s="6" t="str">
        <x:v>-A102</x:v>
      </x:c>
      <x:c r="K14" s="6" t="str">
        <x:v>=FC01+CP01-A102</x:v>
      </x:c>
      <x:c r="L14" s="6" t="str">
        <x:v>11</x:v>
      </x:c>
      <x:c r="M14" s="6" t="str">
        <x:v>I1.3</x:v>
      </x:c>
      <x:c r="N14" s="6" t="str">
        <x:v>+24VDC fused</x:v>
      </x:c>
      <x:c r="O14" s="6" t="str">
        <x:v>W0015</x:v>
      </x:c>
      <x:c r="P14" s="6" t="str"/>
      <x:c r="Q14" s="6" t="str">
        <x:v>Controlled Rev-D topology; conductor size/terminal family and native QET continuity verification remain open</x:v>
      </x:c>
    </x:row>
    <x:row r="15" ht="27" customHeight="1">
      <x:c r="A15" s="6" t="str">
        <x:v>X100:14</x:v>
      </x:c>
      <x:c r="B15" s="6" t="str">
        <x:v>=FC01+CP01-X100</x:v>
      </x:c>
      <x:c r="C15" s="6" t="str">
        <x:v>BOTTLE_AT_NEST_2</x:v>
      </x:c>
      <x:c r="D15" s="6" t="str">
        <x:v>Sensor/interface return</x:v>
      </x:c>
      <x:c r="E15" s="6" t="str">
        <x:v>C005</x:v>
      </x:c>
      <x:c r="F15" s="6" t="str">
        <x:v>3</x:v>
      </x:c>
      <x:c r="G15" s="6" t="str">
        <x:v>-B111</x:v>
      </x:c>
      <x:c r="H15" s="6" t="str">
        <x:v>=FC01+FLD-B111</x:v>
      </x:c>
      <x:c r="I15" s="6" t="str">
        <x:v>3</x:v>
      </x:c>
      <x:c r="J15" s="6" t="str">
        <x:v>-A102</x:v>
      </x:c>
      <x:c r="K15" s="6" t="str">
        <x:v>=FC01+CP01-A102</x:v>
      </x:c>
      <x:c r="L15" s="6" t="str">
        <x:v>11</x:v>
      </x:c>
      <x:c r="M15" s="6" t="str">
        <x:v>I1.3</x:v>
      </x:c>
      <x:c r="N15" s="6" t="str">
        <x:v>0V</x:v>
      </x:c>
      <x:c r="O15" s="6" t="str">
        <x:v>W0016</x:v>
      </x:c>
      <x:c r="P15" s="6" t="str">
        <x:v>X0:0V</x:v>
      </x:c>
      <x:c r="Q15" s="6" t="str">
        <x:v>Controlled Rev-D topology; conductor size/terminal family and native QET continuity verification remain open</x:v>
      </x:c>
    </x:row>
    <x:row r="16" ht="27" customHeight="1">
      <x:c r="A16" s="6" t="str">
        <x:v>X100:15</x:v>
      </x:c>
      <x:c r="B16" s="6" t="str">
        <x:v>=FC01+CP01-X100</x:v>
      </x:c>
      <x:c r="C16" s="6" t="str">
        <x:v>GATE_OPEN_FB</x:v>
      </x:c>
      <x:c r="D16" s="6" t="str">
        <x:v>PNP signal</x:v>
      </x:c>
      <x:c r="E16" s="6" t="str">
        <x:v>C006</x:v>
      </x:c>
      <x:c r="F16" s="6" t="str">
        <x:v>1</x:v>
      </x:c>
      <x:c r="G16" s="6" t="str">
        <x:v>-B120</x:v>
      </x:c>
      <x:c r="H16" s="6" t="str">
        <x:v>=FC01+FLD-B120</x:v>
      </x:c>
      <x:c r="I16" s="6" t="str">
        <x:v>4</x:v>
      </x:c>
      <x:c r="J16" s="6" t="str">
        <x:v>-A102</x:v>
      </x:c>
      <x:c r="K16" s="6" t="str">
        <x:v>=FC01+CP01-A102</x:v>
      </x:c>
      <x:c r="L16" s="6" t="str">
        <x:v>12</x:v>
      </x:c>
      <x:c r="M16" s="6" t="str">
        <x:v>I1.4</x:v>
      </x:c>
      <x:c r="N16" s="6" t="str">
        <x:v>24 VDC switched</x:v>
      </x:c>
      <x:c r="O16" s="6" t="str">
        <x:v>W0017</x:v>
      </x:c>
      <x:c r="P16" s="6" t="str"/>
      <x:c r="Q16" s="6" t="str">
        <x:v>Controlled Rev-D topology; conductor size/terminal family and native QET continuity verification remain open</x:v>
      </x:c>
    </x:row>
    <x:row r="17" ht="27" customHeight="1">
      <x:c r="A17" s="6" t="str">
        <x:v>X100:16</x:v>
      </x:c>
      <x:c r="B17" s="6" t="str">
        <x:v>=FC01+CP01-X100</x:v>
      </x:c>
      <x:c r="C17" s="6" t="str">
        <x:v>GATE_OPEN_FB</x:v>
      </x:c>
      <x:c r="D17" s="6" t="str">
        <x:v>Sensor/interface supply</x:v>
      </x:c>
      <x:c r="E17" s="6" t="str">
        <x:v>C006</x:v>
      </x:c>
      <x:c r="F17" s="6" t="str">
        <x:v>2</x:v>
      </x:c>
      <x:c r="G17" s="6" t="str">
        <x:v>-B120</x:v>
      </x:c>
      <x:c r="H17" s="6" t="str">
        <x:v>=FC01+FLD-B120</x:v>
      </x:c>
      <x:c r="I17" s="6" t="str">
        <x:v>1</x:v>
      </x:c>
      <x:c r="J17" s="6" t="str">
        <x:v>-A102</x:v>
      </x:c>
      <x:c r="K17" s="6" t="str">
        <x:v>=FC01+CP01-A102</x:v>
      </x:c>
      <x:c r="L17" s="6" t="str">
        <x:v>12</x:v>
      </x:c>
      <x:c r="M17" s="6" t="str">
        <x:v>I1.4</x:v>
      </x:c>
      <x:c r="N17" s="6" t="str">
        <x:v>+24VDC fused</x:v>
      </x:c>
      <x:c r="O17" s="6" t="str">
        <x:v>W0018</x:v>
      </x:c>
      <x:c r="P17" s="6" t="str"/>
      <x:c r="Q17" s="6" t="str">
        <x:v>Controlled Rev-D topology; conductor size/terminal family and native QET continuity verification remain open</x:v>
      </x:c>
    </x:row>
    <x:row r="18" ht="27" customHeight="1">
      <x:c r="A18" s="6" t="str">
        <x:v>X100:17</x:v>
      </x:c>
      <x:c r="B18" s="6" t="str">
        <x:v>=FC01+CP01-X100</x:v>
      </x:c>
      <x:c r="C18" s="6" t="str">
        <x:v>GATE_OPEN_FB</x:v>
      </x:c>
      <x:c r="D18" s="6" t="str">
        <x:v>Sensor/interface return</x:v>
      </x:c>
      <x:c r="E18" s="6" t="str">
        <x:v>C006</x:v>
      </x:c>
      <x:c r="F18" s="6" t="str">
        <x:v>3</x:v>
      </x:c>
      <x:c r="G18" s="6" t="str">
        <x:v>-B120</x:v>
      </x:c>
      <x:c r="H18" s="6" t="str">
        <x:v>=FC01+FLD-B120</x:v>
      </x:c>
      <x:c r="I18" s="6" t="str">
        <x:v>3</x:v>
      </x:c>
      <x:c r="J18" s="6" t="str">
        <x:v>-A102</x:v>
      </x:c>
      <x:c r="K18" s="6" t="str">
        <x:v>=FC01+CP01-A102</x:v>
      </x:c>
      <x:c r="L18" s="6" t="str">
        <x:v>12</x:v>
      </x:c>
      <x:c r="M18" s="6" t="str">
        <x:v>I1.4</x:v>
      </x:c>
      <x:c r="N18" s="6" t="str">
        <x:v>0V</x:v>
      </x:c>
      <x:c r="O18" s="6" t="str">
        <x:v>W0019</x:v>
      </x:c>
      <x:c r="P18" s="6" t="str">
        <x:v>X0:0V</x:v>
      </x:c>
      <x:c r="Q18" s="6" t="str">
        <x:v>Controlled Rev-D topology; conductor size/terminal family and native QET continuity verification remain open</x:v>
      </x:c>
    </x:row>
    <x:row r="19" ht="27" customHeight="1">
      <x:c r="A19" s="6" t="str">
        <x:v>X100:18</x:v>
      </x:c>
      <x:c r="B19" s="6" t="str">
        <x:v>=FC01+CP01-X100</x:v>
      </x:c>
      <x:c r="C19" s="6" t="str">
        <x:v>GATE_CLOSED_FB</x:v>
      </x:c>
      <x:c r="D19" s="6" t="str">
        <x:v>PNP signal</x:v>
      </x:c>
      <x:c r="E19" s="6" t="str">
        <x:v>C007</x:v>
      </x:c>
      <x:c r="F19" s="6" t="str">
        <x:v>1</x:v>
      </x:c>
      <x:c r="G19" s="6" t="str">
        <x:v>-B121</x:v>
      </x:c>
      <x:c r="H19" s="6" t="str">
        <x:v>=FC01+FLD-B121</x:v>
      </x:c>
      <x:c r="I19" s="6" t="str">
        <x:v>4</x:v>
      </x:c>
      <x:c r="J19" s="6" t="str">
        <x:v>-A102</x:v>
      </x:c>
      <x:c r="K19" s="6" t="str">
        <x:v>=FC01+CP01-A102</x:v>
      </x:c>
      <x:c r="L19" s="6" t="str">
        <x:v>13</x:v>
      </x:c>
      <x:c r="M19" s="6" t="str">
        <x:v>I1.5</x:v>
      </x:c>
      <x:c r="N19" s="6" t="str">
        <x:v>24 VDC switched</x:v>
      </x:c>
      <x:c r="O19" s="6" t="str">
        <x:v>W0020</x:v>
      </x:c>
      <x:c r="P19" s="6" t="str"/>
      <x:c r="Q19" s="6" t="str">
        <x:v>Controlled Rev-D topology; conductor size/terminal family and native QET continuity verification remain open</x:v>
      </x:c>
    </x:row>
    <x:row r="20" ht="27" customHeight="1">
      <x:c r="A20" s="6" t="str">
        <x:v>X100:19</x:v>
      </x:c>
      <x:c r="B20" s="6" t="str">
        <x:v>=FC01+CP01-X100</x:v>
      </x:c>
      <x:c r="C20" s="6" t="str">
        <x:v>GATE_CLOSED_FB</x:v>
      </x:c>
      <x:c r="D20" s="6" t="str">
        <x:v>Sensor/interface supply</x:v>
      </x:c>
      <x:c r="E20" s="6" t="str">
        <x:v>C007</x:v>
      </x:c>
      <x:c r="F20" s="6" t="str">
        <x:v>2</x:v>
      </x:c>
      <x:c r="G20" s="6" t="str">
        <x:v>-B121</x:v>
      </x:c>
      <x:c r="H20" s="6" t="str">
        <x:v>=FC01+FLD-B121</x:v>
      </x:c>
      <x:c r="I20" s="6" t="str">
        <x:v>1</x:v>
      </x:c>
      <x:c r="J20" s="6" t="str">
        <x:v>-A102</x:v>
      </x:c>
      <x:c r="K20" s="6" t="str">
        <x:v>=FC01+CP01-A102</x:v>
      </x:c>
      <x:c r="L20" s="6" t="str">
        <x:v>13</x:v>
      </x:c>
      <x:c r="M20" s="6" t="str">
        <x:v>I1.5</x:v>
      </x:c>
      <x:c r="N20" s="6" t="str">
        <x:v>+24VDC fused</x:v>
      </x:c>
      <x:c r="O20" s="6" t="str">
        <x:v>W0021</x:v>
      </x:c>
      <x:c r="P20" s="6" t="str"/>
      <x:c r="Q20" s="6" t="str">
        <x:v>Controlled Rev-D topology; conductor size/terminal family and native QET continuity verification remain open</x:v>
      </x:c>
    </x:row>
    <x:row r="21" ht="27" customHeight="1">
      <x:c r="A21" s="6" t="str">
        <x:v>X100:20</x:v>
      </x:c>
      <x:c r="B21" s="6" t="str">
        <x:v>=FC01+CP01-X100</x:v>
      </x:c>
      <x:c r="C21" s="6" t="str">
        <x:v>GATE_CLOSED_FB</x:v>
      </x:c>
      <x:c r="D21" s="6" t="str">
        <x:v>Sensor/interface return</x:v>
      </x:c>
      <x:c r="E21" s="6" t="str">
        <x:v>C007</x:v>
      </x:c>
      <x:c r="F21" s="6" t="str">
        <x:v>3</x:v>
      </x:c>
      <x:c r="G21" s="6" t="str">
        <x:v>-B121</x:v>
      </x:c>
      <x:c r="H21" s="6" t="str">
        <x:v>=FC01+FLD-B121</x:v>
      </x:c>
      <x:c r="I21" s="6" t="str">
        <x:v>3</x:v>
      </x:c>
      <x:c r="J21" s="6" t="str">
        <x:v>-A102</x:v>
      </x:c>
      <x:c r="K21" s="6" t="str">
        <x:v>=FC01+CP01-A102</x:v>
      </x:c>
      <x:c r="L21" s="6" t="str">
        <x:v>13</x:v>
      </x:c>
      <x:c r="M21" s="6" t="str">
        <x:v>I1.5</x:v>
      </x:c>
      <x:c r="N21" s="6" t="str">
        <x:v>0V</x:v>
      </x:c>
      <x:c r="O21" s="6" t="str">
        <x:v>W0022</x:v>
      </x:c>
      <x:c r="P21" s="6" t="str">
        <x:v>X0:0V</x:v>
      </x:c>
      <x:c r="Q21" s="6" t="str">
        <x:v>Controlled Rev-D topology; conductor size/terminal family and native QET continuity verification remain open</x:v>
      </x:c>
    </x:row>
    <x:row r="22" ht="27" customHeight="1">
      <x:c r="A22" s="6" t="str">
        <x:v>X100:21</x:v>
      </x:c>
      <x:c r="B22" s="6" t="str">
        <x:v>=FC01+CP01-X100</x:v>
      </x:c>
      <x:c r="C22" s="6" t="str">
        <x:v>CLAMP_RELEASED_FB</x:v>
      </x:c>
      <x:c r="D22" s="6" t="str">
        <x:v>PNP signal</x:v>
      </x:c>
      <x:c r="E22" s="6" t="str">
        <x:v>C008</x:v>
      </x:c>
      <x:c r="F22" s="6" t="str">
        <x:v>1</x:v>
      </x:c>
      <x:c r="G22" s="6" t="str">
        <x:v>-B122</x:v>
      </x:c>
      <x:c r="H22" s="6" t="str">
        <x:v>=FC01+FLD-B122</x:v>
      </x:c>
      <x:c r="I22" s="6" t="str">
        <x:v>4</x:v>
      </x:c>
      <x:c r="J22" s="6" t="str">
        <x:v>-A102</x:v>
      </x:c>
      <x:c r="K22" s="6" t="str">
        <x:v>=FC01+CP01-A102</x:v>
      </x:c>
      <x:c r="L22" s="6" t="str">
        <x:v>14</x:v>
      </x:c>
      <x:c r="M22" s="6" t="str">
        <x:v>I1.6</x:v>
      </x:c>
      <x:c r="N22" s="6" t="str">
        <x:v>24 VDC switched</x:v>
      </x:c>
      <x:c r="O22" s="6" t="str">
        <x:v>W0023</x:v>
      </x:c>
      <x:c r="P22" s="6" t="str"/>
      <x:c r="Q22" s="6" t="str">
        <x:v>Controlled Rev-D topology; conductor size/terminal family and native QET continuity verification remain open</x:v>
      </x:c>
    </x:row>
    <x:row r="23" ht="27" customHeight="1">
      <x:c r="A23" s="6" t="str">
        <x:v>X100:22</x:v>
      </x:c>
      <x:c r="B23" s="6" t="str">
        <x:v>=FC01+CP01-X100</x:v>
      </x:c>
      <x:c r="C23" s="6" t="str">
        <x:v>CLAMP_RELEASED_FB</x:v>
      </x:c>
      <x:c r="D23" s="6" t="str">
        <x:v>Sensor/interface supply</x:v>
      </x:c>
      <x:c r="E23" s="6" t="str">
        <x:v>C008</x:v>
      </x:c>
      <x:c r="F23" s="6" t="str">
        <x:v>2</x:v>
      </x:c>
      <x:c r="G23" s="6" t="str">
        <x:v>-B122</x:v>
      </x:c>
      <x:c r="H23" s="6" t="str">
        <x:v>=FC01+FLD-B122</x:v>
      </x:c>
      <x:c r="I23" s="6" t="str">
        <x:v>1</x:v>
      </x:c>
      <x:c r="J23" s="6" t="str">
        <x:v>-A102</x:v>
      </x:c>
      <x:c r="K23" s="6" t="str">
        <x:v>=FC01+CP01-A102</x:v>
      </x:c>
      <x:c r="L23" s="6" t="str">
        <x:v>14</x:v>
      </x:c>
      <x:c r="M23" s="6" t="str">
        <x:v>I1.6</x:v>
      </x:c>
      <x:c r="N23" s="6" t="str">
        <x:v>+24VDC fused</x:v>
      </x:c>
      <x:c r="O23" s="6" t="str">
        <x:v>W0024</x:v>
      </x:c>
      <x:c r="P23" s="6" t="str"/>
      <x:c r="Q23" s="6" t="str">
        <x:v>Controlled Rev-D topology; conductor size/terminal family and native QET continuity verification remain open</x:v>
      </x:c>
    </x:row>
    <x:row r="24" ht="27" customHeight="1">
      <x:c r="A24" s="6" t="str">
        <x:v>X100:23</x:v>
      </x:c>
      <x:c r="B24" s="6" t="str">
        <x:v>=FC01+CP01-X100</x:v>
      </x:c>
      <x:c r="C24" s="6" t="str">
        <x:v>CLAMP_RELEASED_FB</x:v>
      </x:c>
      <x:c r="D24" s="6" t="str">
        <x:v>Sensor/interface return</x:v>
      </x:c>
      <x:c r="E24" s="6" t="str">
        <x:v>C008</x:v>
      </x:c>
      <x:c r="F24" s="6" t="str">
        <x:v>3</x:v>
      </x:c>
      <x:c r="G24" s="6" t="str">
        <x:v>-B122</x:v>
      </x:c>
      <x:c r="H24" s="6" t="str">
        <x:v>=FC01+FLD-B122</x:v>
      </x:c>
      <x:c r="I24" s="6" t="str">
        <x:v>3</x:v>
      </x:c>
      <x:c r="J24" s="6" t="str">
        <x:v>-A102</x:v>
      </x:c>
      <x:c r="K24" s="6" t="str">
        <x:v>=FC01+CP01-A102</x:v>
      </x:c>
      <x:c r="L24" s="6" t="str">
        <x:v>14</x:v>
      </x:c>
      <x:c r="M24" s="6" t="str">
        <x:v>I1.6</x:v>
      </x:c>
      <x:c r="N24" s="6" t="str">
        <x:v>0V</x:v>
      </x:c>
      <x:c r="O24" s="6" t="str">
        <x:v>W0025</x:v>
      </x:c>
      <x:c r="P24" s="6" t="str">
        <x:v>X0:0V</x:v>
      </x:c>
      <x:c r="Q24" s="6" t="str">
        <x:v>Controlled Rev-D topology; conductor size/terminal family and native QET continuity verification remain open</x:v>
      </x:c>
    </x:row>
    <x:row r="25" ht="27" customHeight="1">
      <x:c r="A25" s="6" t="str">
        <x:v>X100:24</x:v>
      </x:c>
      <x:c r="B25" s="6" t="str">
        <x:v>=FC01+CP01-X100</x:v>
      </x:c>
      <x:c r="C25" s="6" t="str">
        <x:v>CLAMP_ENGAGED_FB</x:v>
      </x:c>
      <x:c r="D25" s="6" t="str">
        <x:v>PNP signal</x:v>
      </x:c>
      <x:c r="E25" s="6" t="str">
        <x:v>C009</x:v>
      </x:c>
      <x:c r="F25" s="6" t="str">
        <x:v>1</x:v>
      </x:c>
      <x:c r="G25" s="6" t="str">
        <x:v>-B123</x:v>
      </x:c>
      <x:c r="H25" s="6" t="str">
        <x:v>=FC01+FLD-B123</x:v>
      </x:c>
      <x:c r="I25" s="6" t="str">
        <x:v>4</x:v>
      </x:c>
      <x:c r="J25" s="6" t="str">
        <x:v>-A102</x:v>
      </x:c>
      <x:c r="K25" s="6" t="str">
        <x:v>=FC01+CP01-A102</x:v>
      </x:c>
      <x:c r="L25" s="6" t="str">
        <x:v>15</x:v>
      </x:c>
      <x:c r="M25" s="6" t="str">
        <x:v>I1.7</x:v>
      </x:c>
      <x:c r="N25" s="6" t="str">
        <x:v>24 VDC switched</x:v>
      </x:c>
      <x:c r="O25" s="6" t="str">
        <x:v>W0026</x:v>
      </x:c>
      <x:c r="P25" s="6" t="str"/>
      <x:c r="Q25" s="6" t="str">
        <x:v>Controlled Rev-D topology; conductor size/terminal family and native QET continuity verification remain open</x:v>
      </x:c>
    </x:row>
    <x:row r="26" ht="27" customHeight="1">
      <x:c r="A26" s="6" t="str">
        <x:v>X101:1</x:v>
      </x:c>
      <x:c r="B26" s="6" t="str">
        <x:v>=FC01+CP01-X101</x:v>
      </x:c>
      <x:c r="C26" s="6" t="str">
        <x:v>CLAMP_ENGAGED_FB</x:v>
      </x:c>
      <x:c r="D26" s="6" t="str">
        <x:v>Sensor/interface supply</x:v>
      </x:c>
      <x:c r="E26" s="6" t="str">
        <x:v>C009</x:v>
      </x:c>
      <x:c r="F26" s="6" t="str">
        <x:v>2</x:v>
      </x:c>
      <x:c r="G26" s="6" t="str">
        <x:v>-B123</x:v>
      </x:c>
      <x:c r="H26" s="6" t="str">
        <x:v>=FC01+FLD-B123</x:v>
      </x:c>
      <x:c r="I26" s="6" t="str">
        <x:v>1</x:v>
      </x:c>
      <x:c r="J26" s="6" t="str">
        <x:v>-A102</x:v>
      </x:c>
      <x:c r="K26" s="6" t="str">
        <x:v>=FC01+CP01-A102</x:v>
      </x:c>
      <x:c r="L26" s="6" t="str">
        <x:v>15</x:v>
      </x:c>
      <x:c r="M26" s="6" t="str">
        <x:v>I1.7</x:v>
      </x:c>
      <x:c r="N26" s="6" t="str">
        <x:v>+24VDC fused</x:v>
      </x:c>
      <x:c r="O26" s="6" t="str">
        <x:v>W0027</x:v>
      </x:c>
      <x:c r="P26" s="6" t="str"/>
      <x:c r="Q26" s="6" t="str">
        <x:v>Controlled Rev-D topology; conductor size/terminal family and native QET continuity verification remain open</x:v>
      </x:c>
    </x:row>
    <x:row r="27" ht="27" customHeight="1">
      <x:c r="A27" s="6" t="str">
        <x:v>X101:2</x:v>
      </x:c>
      <x:c r="B27" s="6" t="str">
        <x:v>=FC01+CP01-X101</x:v>
      </x:c>
      <x:c r="C27" s="6" t="str">
        <x:v>CLAMP_ENGAGED_FB</x:v>
      </x:c>
      <x:c r="D27" s="6" t="str">
        <x:v>Sensor/interface return</x:v>
      </x:c>
      <x:c r="E27" s="6" t="str">
        <x:v>C009</x:v>
      </x:c>
      <x:c r="F27" s="6" t="str">
        <x:v>3</x:v>
      </x:c>
      <x:c r="G27" s="6" t="str">
        <x:v>-B123</x:v>
      </x:c>
      <x:c r="H27" s="6" t="str">
        <x:v>=FC01+FLD-B123</x:v>
      </x:c>
      <x:c r="I27" s="6" t="str">
        <x:v>3</x:v>
      </x:c>
      <x:c r="J27" s="6" t="str">
        <x:v>-A102</x:v>
      </x:c>
      <x:c r="K27" s="6" t="str">
        <x:v>=FC01+CP01-A102</x:v>
      </x:c>
      <x:c r="L27" s="6" t="str">
        <x:v>15</x:v>
      </x:c>
      <x:c r="M27" s="6" t="str">
        <x:v>I1.7</x:v>
      </x:c>
      <x:c r="N27" s="6" t="str">
        <x:v>0V</x:v>
      </x:c>
      <x:c r="O27" s="6" t="str">
        <x:v>W0028</x:v>
      </x:c>
      <x:c r="P27" s="6" t="str">
        <x:v>X0:0V</x:v>
      </x:c>
      <x:c r="Q27" s="6" t="str">
        <x:v>Controlled Rev-D topology; conductor size/terminal family and native QET continuity verification remain open</x:v>
      </x:c>
    </x:row>
    <x:row r="28" ht="27" customHeight="1">
      <x:c r="A28" s="6" t="str">
        <x:v>X101:3</x:v>
      </x:c>
      <x:c r="B28" s="6" t="str">
        <x:v>=FC01+CP01-X101</x:v>
      </x:c>
      <x:c r="C28" s="6" t="str">
        <x:v>FILL_VALVE_1_CLOSED_FB</x:v>
      </x:c>
      <x:c r="D28" s="6" t="str">
        <x:v>PNP signal</x:v>
      </x:c>
      <x:c r="E28" s="6" t="str">
        <x:v>C010</x:v>
      </x:c>
      <x:c r="F28" s="6" t="str">
        <x:v>1</x:v>
      </x:c>
      <x:c r="G28" s="6" t="str">
        <x:v>-B130</x:v>
      </x:c>
      <x:c r="H28" s="6" t="str">
        <x:v>=FC01+FLD-B130</x:v>
      </x:c>
      <x:c r="I28" s="6" t="str">
        <x:v>4</x:v>
      </x:c>
      <x:c r="J28" s="6" t="str">
        <x:v>-A102</x:v>
      </x:c>
      <x:c r="K28" s="6" t="str">
        <x:v>=FC01+CP01-A102</x:v>
      </x:c>
      <x:c r="L28" s="6" t="str">
        <x:v>16</x:v>
      </x:c>
      <x:c r="M28" s="6" t="str">
        <x:v>I2.0</x:v>
      </x:c>
      <x:c r="N28" s="6" t="str">
        <x:v>24 VDC switched</x:v>
      </x:c>
      <x:c r="O28" s="6" t="str">
        <x:v>W0029</x:v>
      </x:c>
      <x:c r="P28" s="6" t="str"/>
      <x:c r="Q28" s="6" t="str">
        <x:v>Controlled Rev-D topology; conductor size/terminal family and native QET continuity verification remain open</x:v>
      </x:c>
    </x:row>
    <x:row r="29" ht="27" customHeight="1">
      <x:c r="A29" s="6" t="str">
        <x:v>X101:4</x:v>
      </x:c>
      <x:c r="B29" s="6" t="str">
        <x:v>=FC01+CP01-X101</x:v>
      </x:c>
      <x:c r="C29" s="6" t="str">
        <x:v>FILL_VALVE_1_CLOSED_FB</x:v>
      </x:c>
      <x:c r="D29" s="6" t="str">
        <x:v>Sensor/interface supply</x:v>
      </x:c>
      <x:c r="E29" s="6" t="str">
        <x:v>C010</x:v>
      </x:c>
      <x:c r="F29" s="6" t="str">
        <x:v>2</x:v>
      </x:c>
      <x:c r="G29" s="6" t="str">
        <x:v>-B130</x:v>
      </x:c>
      <x:c r="H29" s="6" t="str">
        <x:v>=FC01+FLD-B130</x:v>
      </x:c>
      <x:c r="I29" s="6" t="str">
        <x:v>1</x:v>
      </x:c>
      <x:c r="J29" s="6" t="str">
        <x:v>-A102</x:v>
      </x:c>
      <x:c r="K29" s="6" t="str">
        <x:v>=FC01+CP01-A102</x:v>
      </x:c>
      <x:c r="L29" s="6" t="str">
        <x:v>16</x:v>
      </x:c>
      <x:c r="M29" s="6" t="str">
        <x:v>I2.0</x:v>
      </x:c>
      <x:c r="N29" s="6" t="str">
        <x:v>+24VDC fused</x:v>
      </x:c>
      <x:c r="O29" s="6" t="str">
        <x:v>W0030</x:v>
      </x:c>
      <x:c r="P29" s="6" t="str"/>
      <x:c r="Q29" s="6" t="str">
        <x:v>Controlled Rev-D topology; conductor size/terminal family and native QET continuity verification remain open</x:v>
      </x:c>
    </x:row>
    <x:row r="30" ht="27" customHeight="1">
      <x:c r="A30" s="6" t="str">
        <x:v>X101:5</x:v>
      </x:c>
      <x:c r="B30" s="6" t="str">
        <x:v>=FC01+CP01-X101</x:v>
      </x:c>
      <x:c r="C30" s="6" t="str">
        <x:v>FILL_VALVE_1_CLOSED_FB</x:v>
      </x:c>
      <x:c r="D30" s="6" t="str">
        <x:v>Sensor/interface return</x:v>
      </x:c>
      <x:c r="E30" s="6" t="str">
        <x:v>C010</x:v>
      </x:c>
      <x:c r="F30" s="6" t="str">
        <x:v>3</x:v>
      </x:c>
      <x:c r="G30" s="6" t="str">
        <x:v>-B130</x:v>
      </x:c>
      <x:c r="H30" s="6" t="str">
        <x:v>=FC01+FLD-B130</x:v>
      </x:c>
      <x:c r="I30" s="6" t="str">
        <x:v>3</x:v>
      </x:c>
      <x:c r="J30" s="6" t="str">
        <x:v>-A102</x:v>
      </x:c>
      <x:c r="K30" s="6" t="str">
        <x:v>=FC01+CP01-A102</x:v>
      </x:c>
      <x:c r="L30" s="6" t="str">
        <x:v>16</x:v>
      </x:c>
      <x:c r="M30" s="6" t="str">
        <x:v>I2.0</x:v>
      </x:c>
      <x:c r="N30" s="6" t="str">
        <x:v>0V</x:v>
      </x:c>
      <x:c r="O30" s="6" t="str">
        <x:v>W0031</x:v>
      </x:c>
      <x:c r="P30" s="6" t="str">
        <x:v>X0:0V</x:v>
      </x:c>
      <x:c r="Q30" s="6" t="str">
        <x:v>Controlled Rev-D topology; conductor size/terminal family and native QET continuity verification remain open</x:v>
      </x:c>
    </x:row>
    <x:row r="31" ht="27" customHeight="1">
      <x:c r="A31" s="6" t="str">
        <x:v>X101:6</x:v>
      </x:c>
      <x:c r="B31" s="6" t="str">
        <x:v>=FC01+CP01-X101</x:v>
      </x:c>
      <x:c r="C31" s="6" t="str">
        <x:v>FILL_VALVE_2_CLOSED_FB</x:v>
      </x:c>
      <x:c r="D31" s="6" t="str">
        <x:v>PNP signal</x:v>
      </x:c>
      <x:c r="E31" s="6" t="str">
        <x:v>C011</x:v>
      </x:c>
      <x:c r="F31" s="6" t="str">
        <x:v>1</x:v>
      </x:c>
      <x:c r="G31" s="6" t="str">
        <x:v>-B131</x:v>
      </x:c>
      <x:c r="H31" s="6" t="str">
        <x:v>=FC01+FLD-B131</x:v>
      </x:c>
      <x:c r="I31" s="6" t="str">
        <x:v>4</x:v>
      </x:c>
      <x:c r="J31" s="6" t="str">
        <x:v>-A102</x:v>
      </x:c>
      <x:c r="K31" s="6" t="str">
        <x:v>=FC01+CP01-A102</x:v>
      </x:c>
      <x:c r="L31" s="6" t="str">
        <x:v>17</x:v>
      </x:c>
      <x:c r="M31" s="6" t="str">
        <x:v>I2.1</x:v>
      </x:c>
      <x:c r="N31" s="6" t="str">
        <x:v>24 VDC switched</x:v>
      </x:c>
      <x:c r="O31" s="6" t="str">
        <x:v>W0032</x:v>
      </x:c>
      <x:c r="P31" s="6" t="str"/>
      <x:c r="Q31" s="6" t="str">
        <x:v>Controlled Rev-D topology; conductor size/terminal family and native QET continuity verification remain open</x:v>
      </x:c>
    </x:row>
    <x:row r="32" ht="27" customHeight="1">
      <x:c r="A32" s="6" t="str">
        <x:v>X101:7</x:v>
      </x:c>
      <x:c r="B32" s="6" t="str">
        <x:v>=FC01+CP01-X101</x:v>
      </x:c>
      <x:c r="C32" s="6" t="str">
        <x:v>FILL_VALVE_2_CLOSED_FB</x:v>
      </x:c>
      <x:c r="D32" s="6" t="str">
        <x:v>Sensor/interface supply</x:v>
      </x:c>
      <x:c r="E32" s="6" t="str">
        <x:v>C011</x:v>
      </x:c>
      <x:c r="F32" s="6" t="str">
        <x:v>2</x:v>
      </x:c>
      <x:c r="G32" s="6" t="str">
        <x:v>-B131</x:v>
      </x:c>
      <x:c r="H32" s="6" t="str">
        <x:v>=FC01+FLD-B131</x:v>
      </x:c>
      <x:c r="I32" s="6" t="str">
        <x:v>1</x:v>
      </x:c>
      <x:c r="J32" s="6" t="str">
        <x:v>-A102</x:v>
      </x:c>
      <x:c r="K32" s="6" t="str">
        <x:v>=FC01+CP01-A102</x:v>
      </x:c>
      <x:c r="L32" s="6" t="str">
        <x:v>17</x:v>
      </x:c>
      <x:c r="M32" s="6" t="str">
        <x:v>I2.1</x:v>
      </x:c>
      <x:c r="N32" s="6" t="str">
        <x:v>+24VDC fused</x:v>
      </x:c>
      <x:c r="O32" s="6" t="str">
        <x:v>W0033</x:v>
      </x:c>
      <x:c r="P32" s="6" t="str"/>
      <x:c r="Q32" s="6" t="str">
        <x:v>Controlled Rev-D topology; conductor size/terminal family and native QET continuity verification remain open</x:v>
      </x:c>
    </x:row>
    <x:row r="33" ht="27" customHeight="1">
      <x:c r="A33" s="6" t="str">
        <x:v>X101:8</x:v>
      </x:c>
      <x:c r="B33" s="6" t="str">
        <x:v>=FC01+CP01-X101</x:v>
      </x:c>
      <x:c r="C33" s="6" t="str">
        <x:v>FILL_VALVE_2_CLOSED_FB</x:v>
      </x:c>
      <x:c r="D33" s="6" t="str">
        <x:v>Sensor/interface return</x:v>
      </x:c>
      <x:c r="E33" s="6" t="str">
        <x:v>C011</x:v>
      </x:c>
      <x:c r="F33" s="6" t="str">
        <x:v>3</x:v>
      </x:c>
      <x:c r="G33" s="6" t="str">
        <x:v>-B131</x:v>
      </x:c>
      <x:c r="H33" s="6" t="str">
        <x:v>=FC01+FLD-B131</x:v>
      </x:c>
      <x:c r="I33" s="6" t="str">
        <x:v>3</x:v>
      </x:c>
      <x:c r="J33" s="6" t="str">
        <x:v>-A102</x:v>
      </x:c>
      <x:c r="K33" s="6" t="str">
        <x:v>=FC01+CP01-A102</x:v>
      </x:c>
      <x:c r="L33" s="6" t="str">
        <x:v>17</x:v>
      </x:c>
      <x:c r="M33" s="6" t="str">
        <x:v>I2.1</x:v>
      </x:c>
      <x:c r="N33" s="6" t="str">
        <x:v>0V</x:v>
      </x:c>
      <x:c r="O33" s="6" t="str">
        <x:v>W0034</x:v>
      </x:c>
      <x:c r="P33" s="6" t="str">
        <x:v>X0:0V</x:v>
      </x:c>
      <x:c r="Q33" s="6" t="str">
        <x:v>Controlled Rev-D topology; conductor size/terminal family and native QET continuity verification remain open</x:v>
      </x:c>
    </x:row>
    <x:row r="34" ht="27" customHeight="1">
      <x:c r="A34" s="6" t="str">
        <x:v>X101:9</x:v>
      </x:c>
      <x:c r="B34" s="6" t="str">
        <x:v>=FC01+CP01-X101</x:v>
      </x:c>
      <x:c r="C34" s="6" t="str">
        <x:v>CAPPER_READY</x:v>
      </x:c>
      <x:c r="D34" s="6" t="str">
        <x:v>PNP signal</x:v>
      </x:c>
      <x:c r="E34" s="6" t="str">
        <x:v>C012</x:v>
      </x:c>
      <x:c r="F34" s="6" t="str">
        <x:v>1</x:v>
      </x:c>
      <x:c r="G34" s="6" t="str">
        <x:v>-IF140</x:v>
      </x:c>
      <x:c r="H34" s="6" t="str">
        <x:v>=FC01+FLD-IF140</x:v>
      </x:c>
      <x:c r="I34" s="6" t="str">
        <x:v>4</x:v>
      </x:c>
      <x:c r="J34" s="6" t="str">
        <x:v>-A102</x:v>
      </x:c>
      <x:c r="K34" s="6" t="str">
        <x:v>=FC01+CP01-A102</x:v>
      </x:c>
      <x:c r="L34" s="6" t="str">
        <x:v>18</x:v>
      </x:c>
      <x:c r="M34" s="6" t="str">
        <x:v>I2.2</x:v>
      </x:c>
      <x:c r="N34" s="6" t="str">
        <x:v>24 VDC switched</x:v>
      </x:c>
      <x:c r="O34" s="6" t="str">
        <x:v>W0035</x:v>
      </x:c>
      <x:c r="P34" s="6" t="str"/>
      <x:c r="Q34" s="6" t="str">
        <x:v>Controlled Rev-D topology; conductor size/terminal family and native QET continuity verification remain open</x:v>
      </x:c>
    </x:row>
    <x:row r="35" ht="27" customHeight="1">
      <x:c r="A35" s="6" t="str">
        <x:v>X101:10</x:v>
      </x:c>
      <x:c r="B35" s="6" t="str">
        <x:v>=FC01+CP01-X101</x:v>
      </x:c>
      <x:c r="C35" s="6" t="str">
        <x:v>CAPPER_READY</x:v>
      </x:c>
      <x:c r="D35" s="6" t="str">
        <x:v>Sensor/interface supply</x:v>
      </x:c>
      <x:c r="E35" s="6" t="str">
        <x:v>C012</x:v>
      </x:c>
      <x:c r="F35" s="6" t="str">
        <x:v>2</x:v>
      </x:c>
      <x:c r="G35" s="6" t="str">
        <x:v>-IF140</x:v>
      </x:c>
      <x:c r="H35" s="6" t="str">
        <x:v>=FC01+FLD-IF140</x:v>
      </x:c>
      <x:c r="I35" s="6" t="str">
        <x:v>1</x:v>
      </x:c>
      <x:c r="J35" s="6" t="str">
        <x:v>-A102</x:v>
      </x:c>
      <x:c r="K35" s="6" t="str">
        <x:v>=FC01+CP01-A102</x:v>
      </x:c>
      <x:c r="L35" s="6" t="str">
        <x:v>18</x:v>
      </x:c>
      <x:c r="M35" s="6" t="str">
        <x:v>I2.2</x:v>
      </x:c>
      <x:c r="N35" s="6" t="str">
        <x:v>+24VDC fused</x:v>
      </x:c>
      <x:c r="O35" s="6" t="str">
        <x:v>W0036</x:v>
      </x:c>
      <x:c r="P35" s="6" t="str"/>
      <x:c r="Q35" s="6" t="str">
        <x:v>Controlled Rev-D topology; conductor size/terminal family and native QET continuity verification remain open</x:v>
      </x:c>
    </x:row>
    <x:row r="36" ht="27" customHeight="1">
      <x:c r="A36" s="6" t="str">
        <x:v>X101:11</x:v>
      </x:c>
      <x:c r="B36" s="6" t="str">
        <x:v>=FC01+CP01-X101</x:v>
      </x:c>
      <x:c r="C36" s="6" t="str">
        <x:v>CAPPER_READY</x:v>
      </x:c>
      <x:c r="D36" s="6" t="str">
        <x:v>Sensor/interface return</x:v>
      </x:c>
      <x:c r="E36" s="6" t="str">
        <x:v>C012</x:v>
      </x:c>
      <x:c r="F36" s="6" t="str">
        <x:v>3</x:v>
      </x:c>
      <x:c r="G36" s="6" t="str">
        <x:v>-IF140</x:v>
      </x:c>
      <x:c r="H36" s="6" t="str">
        <x:v>=FC01+FLD-IF140</x:v>
      </x:c>
      <x:c r="I36" s="6" t="str">
        <x:v>2</x:v>
      </x:c>
      <x:c r="J36" s="6" t="str">
        <x:v>-A102</x:v>
      </x:c>
      <x:c r="K36" s="6" t="str">
        <x:v>=FC01+CP01-A102</x:v>
      </x:c>
      <x:c r="L36" s="6" t="str">
        <x:v>18</x:v>
      </x:c>
      <x:c r="M36" s="6" t="str">
        <x:v>I2.2</x:v>
      </x:c>
      <x:c r="N36" s="6" t="str">
        <x:v>0V</x:v>
      </x:c>
      <x:c r="O36" s="6" t="str">
        <x:v>W0037</x:v>
      </x:c>
      <x:c r="P36" s="6" t="str">
        <x:v>X0:0V</x:v>
      </x:c>
      <x:c r="Q36" s="6" t="str">
        <x:v>Controlled Rev-D topology; conductor size/terminal family and native QET continuity verification remain open</x:v>
      </x:c>
    </x:row>
    <x:row r="37" ht="27" customHeight="1">
      <x:c r="A37" s="6" t="str">
        <x:v>X101:12</x:v>
      </x:c>
      <x:c r="B37" s="6" t="str">
        <x:v>=FC01+CP01-X101</x:v>
      </x:c>
      <x:c r="C37" s="6" t="str">
        <x:v>CAPPER_BUSY</x:v>
      </x:c>
      <x:c r="D37" s="6" t="str">
        <x:v>PNP signal</x:v>
      </x:c>
      <x:c r="E37" s="6" t="str">
        <x:v>C012</x:v>
      </x:c>
      <x:c r="F37" s="6" t="str">
        <x:v>4</x:v>
      </x:c>
      <x:c r="G37" s="6" t="str">
        <x:v>-IF140</x:v>
      </x:c>
      <x:c r="H37" s="6" t="str">
        <x:v>=FC01+FLD-IF140</x:v>
      </x:c>
      <x:c r="I37" s="6" t="str">
        <x:v>5</x:v>
      </x:c>
      <x:c r="J37" s="6" t="str">
        <x:v>-A102</x:v>
      </x:c>
      <x:c r="K37" s="6" t="str">
        <x:v>=FC01+CP01-A102</x:v>
      </x:c>
      <x:c r="L37" s="6" t="str">
        <x:v>19</x:v>
      </x:c>
      <x:c r="M37" s="6" t="str">
        <x:v>I2.3</x:v>
      </x:c>
      <x:c r="N37" s="6" t="str">
        <x:v>24 VDC switched</x:v>
      </x:c>
      <x:c r="O37" s="6" t="str">
        <x:v>W0038</x:v>
      </x:c>
      <x:c r="P37" s="6" t="str"/>
      <x:c r="Q37" s="6" t="str">
        <x:v>Controlled Rev-D topology; conductor size/terminal family and native QET continuity verification remain open</x:v>
      </x:c>
    </x:row>
    <x:row r="38" ht="27" customHeight="1">
      <x:c r="A38" s="6" t="str">
        <x:v>X101:13</x:v>
      </x:c>
      <x:c r="B38" s="6" t="str">
        <x:v>=FC01+CP01-X101</x:v>
      </x:c>
      <x:c r="C38" s="6" t="str">
        <x:v>CAPPER_COMPLETE</x:v>
      </x:c>
      <x:c r="D38" s="6" t="str">
        <x:v>PNP signal</x:v>
      </x:c>
      <x:c r="E38" s="6" t="str">
        <x:v>C012</x:v>
      </x:c>
      <x:c r="F38" s="6" t="str">
        <x:v>5</x:v>
      </x:c>
      <x:c r="G38" s="6" t="str">
        <x:v>-IF140</x:v>
      </x:c>
      <x:c r="H38" s="6" t="str">
        <x:v>=FC01+FLD-IF140</x:v>
      </x:c>
      <x:c r="I38" s="6" t="str">
        <x:v>6</x:v>
      </x:c>
      <x:c r="J38" s="6" t="str">
        <x:v>-A102</x:v>
      </x:c>
      <x:c r="K38" s="6" t="str">
        <x:v>=FC01+CP01-A102</x:v>
      </x:c>
      <x:c r="L38" s="6" t="str">
        <x:v>20</x:v>
      </x:c>
      <x:c r="M38" s="6" t="str">
        <x:v>I2.4</x:v>
      </x:c>
      <x:c r="N38" s="6" t="str">
        <x:v>24 VDC switched</x:v>
      </x:c>
      <x:c r="O38" s="6" t="str">
        <x:v>W0039</x:v>
      </x:c>
      <x:c r="P38" s="6" t="str"/>
      <x:c r="Q38" s="6" t="str">
        <x:v>Controlled Rev-D topology; conductor size/terminal family and native QET continuity verification remain open</x:v>
      </x:c>
    </x:row>
    <x:row r="39" ht="27" customHeight="1">
      <x:c r="A39" s="6" t="str">
        <x:v>X101:14</x:v>
      </x:c>
      <x:c r="B39" s="6" t="str">
        <x:v>=FC01+CP01-X101</x:v>
      </x:c>
      <x:c r="C39" s="6" t="str">
        <x:v>CAPPER_FAULT</x:v>
      </x:c>
      <x:c r="D39" s="6" t="str">
        <x:v>PNP signal</x:v>
      </x:c>
      <x:c r="E39" s="6" t="str">
        <x:v>C012</x:v>
      </x:c>
      <x:c r="F39" s="6" t="str">
        <x:v>6</x:v>
      </x:c>
      <x:c r="G39" s="6" t="str">
        <x:v>-IF140</x:v>
      </x:c>
      <x:c r="H39" s="6" t="str">
        <x:v>=FC01+FLD-IF140</x:v>
      </x:c>
      <x:c r="I39" s="6" t="str">
        <x:v>7</x:v>
      </x:c>
      <x:c r="J39" s="6" t="str">
        <x:v>-A102</x:v>
      </x:c>
      <x:c r="K39" s="6" t="str">
        <x:v>=FC01+CP01-A102</x:v>
      </x:c>
      <x:c r="L39" s="6" t="str">
        <x:v>21</x:v>
      </x:c>
      <x:c r="M39" s="6" t="str">
        <x:v>I2.5</x:v>
      </x:c>
      <x:c r="N39" s="6" t="str">
        <x:v>24 VDC switched</x:v>
      </x:c>
      <x:c r="O39" s="6" t="str">
        <x:v>W0040</x:v>
      </x:c>
      <x:c r="P39" s="6" t="str"/>
      <x:c r="Q39" s="6" t="str">
        <x:v>Controlled Rev-D topology; conductor size/terminal family and native QET continuity verification remain open</x:v>
      </x:c>
    </x:row>
    <x:row r="40" ht="27" customHeight="1">
      <x:c r="A40" s="6" t="str">
        <x:v>X101:15</x:v>
      </x:c>
      <x:c r="B40" s="6" t="str">
        <x:v>=FC01+CP01-X101</x:v>
      </x:c>
      <x:c r="C40" s="6" t="str">
        <x:v>LOCAL_RESET_PB</x:v>
      </x:c>
      <x:c r="D40" s="6" t="str">
        <x:v>PNP signal</x:v>
      </x:c>
      <x:c r="E40" s="6" t="str">
        <x:v>C013</x:v>
      </x:c>
      <x:c r="F40" s="6" t="str">
        <x:v>1</x:v>
      </x:c>
      <x:c r="G40" s="6" t="str">
        <x:v>-S100</x:v>
      </x:c>
      <x:c r="H40" s="6" t="str">
        <x:v>=FC01+FLD-S100</x:v>
      </x:c>
      <x:c r="I40" s="6" t="str">
        <x:v>4</x:v>
      </x:c>
      <x:c r="J40" s="6" t="str">
        <x:v>-A102</x:v>
      </x:c>
      <x:c r="K40" s="6" t="str">
        <x:v>=FC01+CP01-A102</x:v>
      </x:c>
      <x:c r="L40" s="6" t="str">
        <x:v>22</x:v>
      </x:c>
      <x:c r="M40" s="6" t="str">
        <x:v>I2.6</x:v>
      </x:c>
      <x:c r="N40" s="6" t="str">
        <x:v>24 VDC switched</x:v>
      </x:c>
      <x:c r="O40" s="6" t="str">
        <x:v>W0041</x:v>
      </x:c>
      <x:c r="P40" s="6" t="str"/>
      <x:c r="Q40" s="6" t="str">
        <x:v>Controlled Rev-D topology; conductor size/terminal family and native QET continuity verification remain open</x:v>
      </x:c>
    </x:row>
    <x:row r="41" ht="27" customHeight="1">
      <x:c r="A41" s="6" t="str">
        <x:v>X101:16</x:v>
      </x:c>
      <x:c r="B41" s="6" t="str">
        <x:v>=FC01+CP01-X101</x:v>
      </x:c>
      <x:c r="C41" s="6" t="str">
        <x:v>LOCAL_RESET_PB</x:v>
      </x:c>
      <x:c r="D41" s="6" t="str">
        <x:v>Sensor/interface supply</x:v>
      </x:c>
      <x:c r="E41" s="6" t="str">
        <x:v>C013</x:v>
      </x:c>
      <x:c r="F41" s="6" t="str">
        <x:v>2</x:v>
      </x:c>
      <x:c r="G41" s="6" t="str">
        <x:v>-S100</x:v>
      </x:c>
      <x:c r="H41" s="6" t="str">
        <x:v>=FC01+FLD-S100</x:v>
      </x:c>
      <x:c r="I41" s="6" t="str">
        <x:v>1</x:v>
      </x:c>
      <x:c r="J41" s="6" t="str">
        <x:v>-A102</x:v>
      </x:c>
      <x:c r="K41" s="6" t="str">
        <x:v>=FC01+CP01-A102</x:v>
      </x:c>
      <x:c r="L41" s="6" t="str">
        <x:v>22</x:v>
      </x:c>
      <x:c r="M41" s="6" t="str">
        <x:v>I2.6</x:v>
      </x:c>
      <x:c r="N41" s="6" t="str">
        <x:v>+24VDC fused</x:v>
      </x:c>
      <x:c r="O41" s="6" t="str">
        <x:v>W0042</x:v>
      </x:c>
      <x:c r="P41" s="6" t="str"/>
      <x:c r="Q41" s="6" t="str">
        <x:v>Controlled Rev-D topology; conductor size/terminal family and native QET continuity verification remain open</x:v>
      </x:c>
    </x:row>
    <x:row r="42" ht="27" customHeight="1">
      <x:c r="A42" s="6" t="str">
        <x:v>X101:17</x:v>
      </x:c>
      <x:c r="B42" s="6" t="str">
        <x:v>=FC01+CP01-X101</x:v>
      </x:c>
      <x:c r="C42" s="6" t="str">
        <x:v>LOCAL_RESET_PB</x:v>
      </x:c>
      <x:c r="D42" s="6" t="str">
        <x:v>Sensor/interface return</x:v>
      </x:c>
      <x:c r="E42" s="6" t="str">
        <x:v>C013</x:v>
      </x:c>
      <x:c r="F42" s="6" t="str">
        <x:v>3</x:v>
      </x:c>
      <x:c r="G42" s="6" t="str">
        <x:v>-S100</x:v>
      </x:c>
      <x:c r="H42" s="6" t="str">
        <x:v>=FC01+FLD-S100</x:v>
      </x:c>
      <x:c r="I42" s="6" t="str">
        <x:v>3</x:v>
      </x:c>
      <x:c r="J42" s="6" t="str">
        <x:v>-A102</x:v>
      </x:c>
      <x:c r="K42" s="6" t="str">
        <x:v>=FC01+CP01-A102</x:v>
      </x:c>
      <x:c r="L42" s="6" t="str">
        <x:v>22</x:v>
      </x:c>
      <x:c r="M42" s="6" t="str">
        <x:v>I2.6</x:v>
      </x:c>
      <x:c r="N42" s="6" t="str">
        <x:v>0V</x:v>
      </x:c>
      <x:c r="O42" s="6" t="str">
        <x:v>W0043</x:v>
      </x:c>
      <x:c r="P42" s="6" t="str">
        <x:v>X0:0V</x:v>
      </x:c>
      <x:c r="Q42" s="6" t="str">
        <x:v>Controlled Rev-D topology; conductor size/terminal family and native QET continuity verification remain open</x:v>
      </x:c>
    </x:row>
    <x:row r="43" ht="27" customHeight="1">
      <x:c r="A43" s="6" t="str">
        <x:v>X101:18</x:v>
      </x:c>
      <x:c r="B43" s="6" t="str">
        <x:v>=FC01+CP01-X101</x:v>
      </x:c>
      <x:c r="C43" s="6" t="str">
        <x:v>LOCAL_STOP_PB</x:v>
      </x:c>
      <x:c r="D43" s="6" t="str">
        <x:v>PNP signal</x:v>
      </x:c>
      <x:c r="E43" s="6" t="str">
        <x:v>C014</x:v>
      </x:c>
      <x:c r="F43" s="6" t="str">
        <x:v>1</x:v>
      </x:c>
      <x:c r="G43" s="6" t="str">
        <x:v>-S101</x:v>
      </x:c>
      <x:c r="H43" s="6" t="str">
        <x:v>=FC01+FLD-S101</x:v>
      </x:c>
      <x:c r="I43" s="6" t="str">
        <x:v>4</x:v>
      </x:c>
      <x:c r="J43" s="6" t="str">
        <x:v>-A102</x:v>
      </x:c>
      <x:c r="K43" s="6" t="str">
        <x:v>=FC01+CP01-A102</x:v>
      </x:c>
      <x:c r="L43" s="6" t="str">
        <x:v>23</x:v>
      </x:c>
      <x:c r="M43" s="6" t="str">
        <x:v>I2.7</x:v>
      </x:c>
      <x:c r="N43" s="6" t="str">
        <x:v>24 VDC switched</x:v>
      </x:c>
      <x:c r="O43" s="6" t="str">
        <x:v>W0044</x:v>
      </x:c>
      <x:c r="P43" s="6" t="str"/>
      <x:c r="Q43" s="6" t="str">
        <x:v>Controlled Rev-D topology; conductor size/terminal family and native QET continuity verification remain open</x:v>
      </x:c>
    </x:row>
    <x:row r="44" ht="27" customHeight="1">
      <x:c r="A44" s="6" t="str">
        <x:v>X101:19</x:v>
      </x:c>
      <x:c r="B44" s="6" t="str">
        <x:v>=FC01+CP01-X101</x:v>
      </x:c>
      <x:c r="C44" s="6" t="str">
        <x:v>LOCAL_STOP_PB</x:v>
      </x:c>
      <x:c r="D44" s="6" t="str">
        <x:v>Sensor/interface supply</x:v>
      </x:c>
      <x:c r="E44" s="6" t="str">
        <x:v>C014</x:v>
      </x:c>
      <x:c r="F44" s="6" t="str">
        <x:v>2</x:v>
      </x:c>
      <x:c r="G44" s="6" t="str">
        <x:v>-S101</x:v>
      </x:c>
      <x:c r="H44" s="6" t="str">
        <x:v>=FC01+FLD-S101</x:v>
      </x:c>
      <x:c r="I44" s="6" t="str">
        <x:v>1</x:v>
      </x:c>
      <x:c r="J44" s="6" t="str">
        <x:v>-A102</x:v>
      </x:c>
      <x:c r="K44" s="6" t="str">
        <x:v>=FC01+CP01-A102</x:v>
      </x:c>
      <x:c r="L44" s="6" t="str">
        <x:v>23</x:v>
      </x:c>
      <x:c r="M44" s="6" t="str">
        <x:v>I2.7</x:v>
      </x:c>
      <x:c r="N44" s="6" t="str">
        <x:v>+24VDC fused</x:v>
      </x:c>
      <x:c r="O44" s="6" t="str">
        <x:v>W0045</x:v>
      </x:c>
      <x:c r="P44" s="6" t="str"/>
      <x:c r="Q44" s="6" t="str">
        <x:v>Controlled Rev-D topology; conductor size/terminal family and native QET continuity verification remain open</x:v>
      </x:c>
    </x:row>
    <x:row r="45" ht="27" customHeight="1">
      <x:c r="A45" s="6" t="str">
        <x:v>X101:20</x:v>
      </x:c>
      <x:c r="B45" s="6" t="str">
        <x:v>=FC01+CP01-X101</x:v>
      </x:c>
      <x:c r="C45" s="6" t="str">
        <x:v>LOCAL_STOP_PB</x:v>
      </x:c>
      <x:c r="D45" s="6" t="str">
        <x:v>Sensor/interface return</x:v>
      </x:c>
      <x:c r="E45" s="6" t="str">
        <x:v>C014</x:v>
      </x:c>
      <x:c r="F45" s="6" t="str">
        <x:v>3</x:v>
      </x:c>
      <x:c r="G45" s="6" t="str">
        <x:v>-S101</x:v>
      </x:c>
      <x:c r="H45" s="6" t="str">
        <x:v>=FC01+FLD-S101</x:v>
      </x:c>
      <x:c r="I45" s="6" t="str">
        <x:v>3</x:v>
      </x:c>
      <x:c r="J45" s="6" t="str">
        <x:v>-A102</x:v>
      </x:c>
      <x:c r="K45" s="6" t="str">
        <x:v>=FC01+CP01-A102</x:v>
      </x:c>
      <x:c r="L45" s="6" t="str">
        <x:v>23</x:v>
      </x:c>
      <x:c r="M45" s="6" t="str">
        <x:v>I2.7</x:v>
      </x:c>
      <x:c r="N45" s="6" t="str">
        <x:v>0V</x:v>
      </x:c>
      <x:c r="O45" s="6" t="str">
        <x:v>W0046</x:v>
      </x:c>
      <x:c r="P45" s="6" t="str">
        <x:v>X0:0V</x:v>
      </x:c>
      <x:c r="Q45" s="6" t="str">
        <x:v>Controlled Rev-D topology; conductor size/terminal family and native QET continuity verification remain open</x:v>
      </x:c>
    </x:row>
    <x:row r="46" ht="27" customHeight="1">
      <x:c r="A46" s="6" t="str">
        <x:v>X101:21</x:v>
      </x:c>
      <x:c r="B46" s="6" t="str">
        <x:v>=FC01+CP01-X101</x:v>
      </x:c>
      <x:c r="C46" s="6" t="str">
        <x:v>FILL_VALVE_1_OPEN_CMD</x:v>
      </x:c>
      <x:c r="D46" s="6" t="str">
        <x:v>Relay contact 14 to field load</x:v>
      </x:c>
      <x:c r="E46" s="6" t="str">
        <x:v>C015</x:v>
      </x:c>
      <x:c r="F46" s="6" t="str">
        <x:v>1</x:v>
      </x:c>
      <x:c r="G46" s="6" t="str">
        <x:v>-YV102</x:v>
      </x:c>
      <x:c r="H46" s="6" t="str">
        <x:v>=FC01+FLD-YV102</x:v>
      </x:c>
      <x:c r="I46" s="6" t="str">
        <x:v>1</x:v>
      </x:c>
      <x:c r="J46" s="6" t="str">
        <x:v>-A103</x:v>
      </x:c>
      <x:c r="K46" s="6" t="str">
        <x:v>=FC01+CP01-A103</x:v>
      </x:c>
      <x:c r="L46" s="6" t="str">
        <x:v>2</x:v>
      </x:c>
      <x:c r="M46" s="6" t="str">
        <x:v>Q0.2</x:v>
      </x:c>
      <x:c r="N46" s="6" t="str">
        <x:v>+24VDC switched</x:v>
      </x:c>
      <x:c r="O46" s="6" t="str">
        <x:v>W0050</x:v>
      </x:c>
      <x:c r="P46" s="6" t="str"/>
      <x:c r="Q46" s="6" t="str">
        <x:v>Controlled Rev-D topology; conductor size/terminal family and native QET continuity verification remain open</x:v>
      </x:c>
    </x:row>
    <x:row r="47" ht="27" customHeight="1">
      <x:c r="A47" s="6" t="str">
        <x:v>X101:22</x:v>
      </x:c>
      <x:c r="B47" s="6" t="str">
        <x:v>=FC01+CP01-X101</x:v>
      </x:c>
      <x:c r="C47" s="6" t="str">
        <x:v>FILL_VALVE_1_OPEN_CMD</x:v>
      </x:c>
      <x:c r="D47" s="6" t="str">
        <x:v>Field load return</x:v>
      </x:c>
      <x:c r="E47" s="6" t="str">
        <x:v>C015</x:v>
      </x:c>
      <x:c r="F47" s="6" t="str">
        <x:v>2</x:v>
      </x:c>
      <x:c r="G47" s="6" t="str">
        <x:v>-YV102</x:v>
      </x:c>
      <x:c r="H47" s="6" t="str">
        <x:v>=FC01+FLD-YV102</x:v>
      </x:c>
      <x:c r="I47" s="6" t="str">
        <x:v>2</x:v>
      </x:c>
      <x:c r="J47" s="6" t="str">
        <x:v>-A103</x:v>
      </x:c>
      <x:c r="K47" s="6" t="str">
        <x:v>=FC01+CP01-A103</x:v>
      </x:c>
      <x:c r="L47" s="6" t="str">
        <x:v>2</x:v>
      </x:c>
      <x:c r="M47" s="6" t="str">
        <x:v>Q0.2</x:v>
      </x:c>
      <x:c r="N47" s="6" t="str">
        <x:v>0V</x:v>
      </x:c>
      <x:c r="O47" s="6" t="str">
        <x:v>W0051</x:v>
      </x:c>
      <x:c r="P47" s="6" t="str">
        <x:v>X0:0V</x:v>
      </x:c>
      <x:c r="Q47" s="6" t="str">
        <x:v>Controlled Rev-D topology; conductor size/terminal family and native QET continuity verification remain open</x:v>
      </x:c>
    </x:row>
    <x:row r="48" ht="27" customHeight="1">
      <x:c r="A48" s="6" t="str">
        <x:v>X101:23</x:v>
      </x:c>
      <x:c r="B48" s="6" t="str">
        <x:v>=FC01+CP01-X101</x:v>
      </x:c>
      <x:c r="C48" s="6" t="str">
        <x:v>FILL_VALVE_2_OPEN_CMD</x:v>
      </x:c>
      <x:c r="D48" s="6" t="str">
        <x:v>Relay contact 14 to field load</x:v>
      </x:c>
      <x:c r="E48" s="6" t="str">
        <x:v>C016</x:v>
      </x:c>
      <x:c r="F48" s="6" t="str">
        <x:v>1</x:v>
      </x:c>
      <x:c r="G48" s="6" t="str">
        <x:v>-YV103</x:v>
      </x:c>
      <x:c r="H48" s="6" t="str">
        <x:v>=FC01+FLD-YV103</x:v>
      </x:c>
      <x:c r="I48" s="6" t="str">
        <x:v>1</x:v>
      </x:c>
      <x:c r="J48" s="6" t="str">
        <x:v>-A103</x:v>
      </x:c>
      <x:c r="K48" s="6" t="str">
        <x:v>=FC01+CP01-A103</x:v>
      </x:c>
      <x:c r="L48" s="6" t="str">
        <x:v>3</x:v>
      </x:c>
      <x:c r="M48" s="6" t="str">
        <x:v>Q0.3</x:v>
      </x:c>
      <x:c r="N48" s="6" t="str">
        <x:v>+24VDC switched</x:v>
      </x:c>
      <x:c r="O48" s="6" t="str">
        <x:v>W0055</x:v>
      </x:c>
      <x:c r="P48" s="6" t="str"/>
      <x:c r="Q48" s="6" t="str">
        <x:v>Controlled Rev-D topology; conductor size/terminal family and native QET continuity verification remain open</x:v>
      </x:c>
    </x:row>
    <x:row r="49" ht="27" customHeight="1">
      <x:c r="A49" s="6" t="str">
        <x:v>X101:24</x:v>
      </x:c>
      <x:c r="B49" s="6" t="str">
        <x:v>=FC01+CP01-X101</x:v>
      </x:c>
      <x:c r="C49" s="6" t="str">
        <x:v>FILL_VALVE_2_OPEN_CMD</x:v>
      </x:c>
      <x:c r="D49" s="6" t="str">
        <x:v>Field load return</x:v>
      </x:c>
      <x:c r="E49" s="6" t="str">
        <x:v>C016</x:v>
      </x:c>
      <x:c r="F49" s="6" t="str">
        <x:v>2</x:v>
      </x:c>
      <x:c r="G49" s="6" t="str">
        <x:v>-YV103</x:v>
      </x:c>
      <x:c r="H49" s="6" t="str">
        <x:v>=FC01+FLD-YV103</x:v>
      </x:c>
      <x:c r="I49" s="6" t="str">
        <x:v>2</x:v>
      </x:c>
      <x:c r="J49" s="6" t="str">
        <x:v>-A103</x:v>
      </x:c>
      <x:c r="K49" s="6" t="str">
        <x:v>=FC01+CP01-A103</x:v>
      </x:c>
      <x:c r="L49" s="6" t="str">
        <x:v>3</x:v>
      </x:c>
      <x:c r="M49" s="6" t="str">
        <x:v>Q0.3</x:v>
      </x:c>
      <x:c r="N49" s="6" t="str">
        <x:v>0V</x:v>
      </x:c>
      <x:c r="O49" s="6" t="str">
        <x:v>W0056</x:v>
      </x:c>
      <x:c r="P49" s="6" t="str">
        <x:v>X0:0V</x:v>
      </x:c>
      <x:c r="Q49" s="6" t="str">
        <x:v>Controlled Rev-D topology; conductor size/terminal family and native QET continuity verification remain open</x:v>
      </x:c>
    </x:row>
    <x:row r="50" ht="27" customHeight="1">
      <x:c r="A50" s="6" t="str">
        <x:v>X102:1</x:v>
      </x:c>
      <x:c r="B50" s="6" t="str">
        <x:v>=FC01+CP01-X102</x:v>
      </x:c>
      <x:c r="C50" s="6" t="str">
        <x:v>GATE_OPEN_CMD</x:v>
      </x:c>
      <x:c r="D50" s="6" t="str">
        <x:v>Relay contact 14 to field load</x:v>
      </x:c>
      <x:c r="E50" s="6" t="str">
        <x:v>C017</x:v>
      </x:c>
      <x:c r="F50" s="6" t="str">
        <x:v>1</x:v>
      </x:c>
      <x:c r="G50" s="6" t="str">
        <x:v>-YV100</x:v>
      </x:c>
      <x:c r="H50" s="6" t="str">
        <x:v>=FC01+FLD-YV100</x:v>
      </x:c>
      <x:c r="I50" s="6" t="str">
        <x:v>1</x:v>
      </x:c>
      <x:c r="J50" s="6" t="str">
        <x:v>-A103</x:v>
      </x:c>
      <x:c r="K50" s="6" t="str">
        <x:v>=FC01+CP01-A103</x:v>
      </x:c>
      <x:c r="L50" s="6" t="str">
        <x:v>4</x:v>
      </x:c>
      <x:c r="M50" s="6" t="str">
        <x:v>Q0.4</x:v>
      </x:c>
      <x:c r="N50" s="6" t="str">
        <x:v>+24VDC switched</x:v>
      </x:c>
      <x:c r="O50" s="6" t="str">
        <x:v>W0060</x:v>
      </x:c>
      <x:c r="P50" s="6" t="str"/>
      <x:c r="Q50" s="6" t="str">
        <x:v>Controlled Rev-D topology; conductor size/terminal family and native QET continuity verification remain open</x:v>
      </x:c>
    </x:row>
    <x:row r="51" ht="27" customHeight="1">
      <x:c r="A51" s="6" t="str">
        <x:v>X102:2</x:v>
      </x:c>
      <x:c r="B51" s="6" t="str">
        <x:v>=FC01+CP01-X102</x:v>
      </x:c>
      <x:c r="C51" s="6" t="str">
        <x:v>GATE_OPEN_CMD</x:v>
      </x:c>
      <x:c r="D51" s="6" t="str">
        <x:v>Field load return</x:v>
      </x:c>
      <x:c r="E51" s="6" t="str">
        <x:v>C017</x:v>
      </x:c>
      <x:c r="F51" s="6" t="str">
        <x:v>2</x:v>
      </x:c>
      <x:c r="G51" s="6" t="str">
        <x:v>-YV100</x:v>
      </x:c>
      <x:c r="H51" s="6" t="str">
        <x:v>=FC01+FLD-YV100</x:v>
      </x:c>
      <x:c r="I51" s="6" t="str">
        <x:v>2</x:v>
      </x:c>
      <x:c r="J51" s="6" t="str">
        <x:v>-A103</x:v>
      </x:c>
      <x:c r="K51" s="6" t="str">
        <x:v>=FC01+CP01-A103</x:v>
      </x:c>
      <x:c r="L51" s="6" t="str">
        <x:v>4</x:v>
      </x:c>
      <x:c r="M51" s="6" t="str">
        <x:v>Q0.4</x:v>
      </x:c>
      <x:c r="N51" s="6" t="str">
        <x:v>0V</x:v>
      </x:c>
      <x:c r="O51" s="6" t="str">
        <x:v>W0061</x:v>
      </x:c>
      <x:c r="P51" s="6" t="str">
        <x:v>X0:0V</x:v>
      </x:c>
      <x:c r="Q51" s="6" t="str">
        <x:v>Controlled Rev-D topology; conductor size/terminal family and native QET continuity verification remain open</x:v>
      </x:c>
    </x:row>
    <x:row r="52" ht="27" customHeight="1">
      <x:c r="A52" s="6" t="str">
        <x:v>X102:3</x:v>
      </x:c>
      <x:c r="B52" s="6" t="str">
        <x:v>=FC01+CP01-X102</x:v>
      </x:c>
      <x:c r="C52" s="6" t="str">
        <x:v>GATE_CLOSE_CMD</x:v>
      </x:c>
      <x:c r="D52" s="6" t="str">
        <x:v>Relay contact 14 to field load</x:v>
      </x:c>
      <x:c r="E52" s="6" t="str">
        <x:v>C017</x:v>
      </x:c>
      <x:c r="F52" s="6" t="str">
        <x:v>3</x:v>
      </x:c>
      <x:c r="G52" s="6" t="str">
        <x:v>-YV100</x:v>
      </x:c>
      <x:c r="H52" s="6" t="str">
        <x:v>=FC01+FLD-YV100</x:v>
      </x:c>
      <x:c r="I52" s="6" t="str">
        <x:v>3</x:v>
      </x:c>
      <x:c r="J52" s="6" t="str">
        <x:v>-A103</x:v>
      </x:c>
      <x:c r="K52" s="6" t="str">
        <x:v>=FC01+CP01-A103</x:v>
      </x:c>
      <x:c r="L52" s="6" t="str">
        <x:v>5</x:v>
      </x:c>
      <x:c r="M52" s="6" t="str">
        <x:v>Q0.5</x:v>
      </x:c>
      <x:c r="N52" s="6" t="str">
        <x:v>+24VDC switched</x:v>
      </x:c>
      <x:c r="O52" s="6" t="str">
        <x:v>W0065</x:v>
      </x:c>
      <x:c r="P52" s="6" t="str"/>
      <x:c r="Q52" s="6" t="str">
        <x:v>Controlled Rev-D topology; conductor size/terminal family and native QET continuity verification remain open</x:v>
      </x:c>
    </x:row>
    <x:row r="53" ht="27" customHeight="1">
      <x:c r="A53" s="6" t="str">
        <x:v>X102:4</x:v>
      </x:c>
      <x:c r="B53" s="6" t="str">
        <x:v>=FC01+CP01-X102</x:v>
      </x:c>
      <x:c r="C53" s="6" t="str">
        <x:v>GATE_CLOSE_CMD</x:v>
      </x:c>
      <x:c r="D53" s="6" t="str">
        <x:v>Field load return</x:v>
      </x:c>
      <x:c r="E53" s="6" t="str">
        <x:v>C017</x:v>
      </x:c>
      <x:c r="F53" s="6" t="str">
        <x:v>4</x:v>
      </x:c>
      <x:c r="G53" s="6" t="str">
        <x:v>-YV100</x:v>
      </x:c>
      <x:c r="H53" s="6" t="str">
        <x:v>=FC01+FLD-YV100</x:v>
      </x:c>
      <x:c r="I53" s="6" t="str">
        <x:v>4</x:v>
      </x:c>
      <x:c r="J53" s="6" t="str">
        <x:v>-A103</x:v>
      </x:c>
      <x:c r="K53" s="6" t="str">
        <x:v>=FC01+CP01-A103</x:v>
      </x:c>
      <x:c r="L53" s="6" t="str">
        <x:v>5</x:v>
      </x:c>
      <x:c r="M53" s="6" t="str">
        <x:v>Q0.5</x:v>
      </x:c>
      <x:c r="N53" s="6" t="str">
        <x:v>0V</x:v>
      </x:c>
      <x:c r="O53" s="6" t="str">
        <x:v>W0066</x:v>
      </x:c>
      <x:c r="P53" s="6" t="str">
        <x:v>X0:0V</x:v>
      </x:c>
      <x:c r="Q53" s="6" t="str">
        <x:v>Controlled Rev-D topology; conductor size/terminal family and native QET continuity verification remain open</x:v>
      </x:c>
    </x:row>
    <x:row r="54" ht="27" customHeight="1">
      <x:c r="A54" s="6" t="str">
        <x:v>X102:5</x:v>
      </x:c>
      <x:c r="B54" s="6" t="str">
        <x:v>=FC01+CP01-X102</x:v>
      </x:c>
      <x:c r="C54" s="6" t="str">
        <x:v>CLAMP_ENGAGE_CMD</x:v>
      </x:c>
      <x:c r="D54" s="6" t="str">
        <x:v>Relay contact 14 to field load</x:v>
      </x:c>
      <x:c r="E54" s="6" t="str">
        <x:v>C018</x:v>
      </x:c>
      <x:c r="F54" s="6" t="str">
        <x:v>1</x:v>
      </x:c>
      <x:c r="G54" s="6" t="str">
        <x:v>-YV101</x:v>
      </x:c>
      <x:c r="H54" s="6" t="str">
        <x:v>=FC01+FLD-YV101</x:v>
      </x:c>
      <x:c r="I54" s="6" t="str">
        <x:v>1</x:v>
      </x:c>
      <x:c r="J54" s="6" t="str">
        <x:v>-A103</x:v>
      </x:c>
      <x:c r="K54" s="6" t="str">
        <x:v>=FC01+CP01-A103</x:v>
      </x:c>
      <x:c r="L54" s="6" t="str">
        <x:v>6</x:v>
      </x:c>
      <x:c r="M54" s="6" t="str">
        <x:v>Q0.6</x:v>
      </x:c>
      <x:c r="N54" s="6" t="str">
        <x:v>+24VDC switched</x:v>
      </x:c>
      <x:c r="O54" s="6" t="str">
        <x:v>W0070</x:v>
      </x:c>
      <x:c r="P54" s="6" t="str"/>
      <x:c r="Q54" s="6" t="str">
        <x:v>Controlled Rev-D topology; conductor size/terminal family and native QET continuity verification remain open</x:v>
      </x:c>
    </x:row>
    <x:row r="55" ht="27" customHeight="1">
      <x:c r="A55" s="6" t="str">
        <x:v>X102:6</x:v>
      </x:c>
      <x:c r="B55" s="6" t="str">
        <x:v>=FC01+CP01-X102</x:v>
      </x:c>
      <x:c r="C55" s="6" t="str">
        <x:v>CLAMP_ENGAGE_CMD</x:v>
      </x:c>
      <x:c r="D55" s="6" t="str">
        <x:v>Field load return</x:v>
      </x:c>
      <x:c r="E55" s="6" t="str">
        <x:v>C018</x:v>
      </x:c>
      <x:c r="F55" s="6" t="str">
        <x:v>2</x:v>
      </x:c>
      <x:c r="G55" s="6" t="str">
        <x:v>-YV101</x:v>
      </x:c>
      <x:c r="H55" s="6" t="str">
        <x:v>=FC01+FLD-YV101</x:v>
      </x:c>
      <x:c r="I55" s="6" t="str">
        <x:v>2</x:v>
      </x:c>
      <x:c r="J55" s="6" t="str">
        <x:v>-A103</x:v>
      </x:c>
      <x:c r="K55" s="6" t="str">
        <x:v>=FC01+CP01-A103</x:v>
      </x:c>
      <x:c r="L55" s="6" t="str">
        <x:v>6</x:v>
      </x:c>
      <x:c r="M55" s="6" t="str">
        <x:v>Q0.6</x:v>
      </x:c>
      <x:c r="N55" s="6" t="str">
        <x:v>0V</x:v>
      </x:c>
      <x:c r="O55" s="6" t="str">
        <x:v>W0071</x:v>
      </x:c>
      <x:c r="P55" s="6" t="str">
        <x:v>X0:0V</x:v>
      </x:c>
      <x:c r="Q55" s="6" t="str">
        <x:v>Controlled Rev-D topology; conductor size/terminal family and native QET continuity verification remain open</x:v>
      </x:c>
    </x:row>
    <x:row r="56" ht="27" customHeight="1">
      <x:c r="A56" s="6" t="str">
        <x:v>X102:7</x:v>
      </x:c>
      <x:c r="B56" s="6" t="str">
        <x:v>=FC01+CP01-X102</x:v>
      </x:c>
      <x:c r="C56" s="6" t="str">
        <x:v>CLAMP_RELEASE_CMD</x:v>
      </x:c>
      <x:c r="D56" s="6" t="str">
        <x:v>Relay contact 14 to field load</x:v>
      </x:c>
      <x:c r="E56" s="6" t="str">
        <x:v>C018</x:v>
      </x:c>
      <x:c r="F56" s="6" t="str">
        <x:v>3</x:v>
      </x:c>
      <x:c r="G56" s="6" t="str">
        <x:v>-YV101</x:v>
      </x:c>
      <x:c r="H56" s="6" t="str">
        <x:v>=FC01+FLD-YV101</x:v>
      </x:c>
      <x:c r="I56" s="6" t="str">
        <x:v>3</x:v>
      </x:c>
      <x:c r="J56" s="6" t="str">
        <x:v>-A103</x:v>
      </x:c>
      <x:c r="K56" s="6" t="str">
        <x:v>=FC01+CP01-A103</x:v>
      </x:c>
      <x:c r="L56" s="6" t="str">
        <x:v>7</x:v>
      </x:c>
      <x:c r="M56" s="6" t="str">
        <x:v>Q0.7</x:v>
      </x:c>
      <x:c r="N56" s="6" t="str">
        <x:v>+24VDC switched</x:v>
      </x:c>
      <x:c r="O56" s="6" t="str">
        <x:v>W0075</x:v>
      </x:c>
      <x:c r="P56" s="6" t="str"/>
      <x:c r="Q56" s="6" t="str">
        <x:v>Controlled Rev-D topology; conductor size/terminal family and native QET continuity verification remain open</x:v>
      </x:c>
    </x:row>
    <x:row r="57" ht="27" customHeight="1">
      <x:c r="A57" s="6" t="str">
        <x:v>X102:8</x:v>
      </x:c>
      <x:c r="B57" s="6" t="str">
        <x:v>=FC01+CP01-X102</x:v>
      </x:c>
      <x:c r="C57" s="6" t="str">
        <x:v>CLAMP_RELEASE_CMD</x:v>
      </x:c>
      <x:c r="D57" s="6" t="str">
        <x:v>Field load return</x:v>
      </x:c>
      <x:c r="E57" s="6" t="str">
        <x:v>C018</x:v>
      </x:c>
      <x:c r="F57" s="6" t="str">
        <x:v>4</x:v>
      </x:c>
      <x:c r="G57" s="6" t="str">
        <x:v>-YV101</x:v>
      </x:c>
      <x:c r="H57" s="6" t="str">
        <x:v>=FC01+FLD-YV101</x:v>
      </x:c>
      <x:c r="I57" s="6" t="str">
        <x:v>4</x:v>
      </x:c>
      <x:c r="J57" s="6" t="str">
        <x:v>-A103</x:v>
      </x:c>
      <x:c r="K57" s="6" t="str">
        <x:v>=FC01+CP01-A103</x:v>
      </x:c>
      <x:c r="L57" s="6" t="str">
        <x:v>7</x:v>
      </x:c>
      <x:c r="M57" s="6" t="str">
        <x:v>Q0.7</x:v>
      </x:c>
      <x:c r="N57" s="6" t="str">
        <x:v>0V</x:v>
      </x:c>
      <x:c r="O57" s="6" t="str">
        <x:v>W0076</x:v>
      </x:c>
      <x:c r="P57" s="6" t="str">
        <x:v>X0:0V</x:v>
      </x:c>
      <x:c r="Q57" s="6" t="str">
        <x:v>Controlled Rev-D topology; conductor size/terminal family and native QET continuity verification remain open</x:v>
      </x:c>
    </x:row>
    <x:row r="58" ht="27" customHeight="1">
      <x:c r="A58" s="6" t="str">
        <x:v>X102:9</x:v>
      </x:c>
      <x:c r="B58" s="6" t="str">
        <x:v>=FC01+CP01-X102</x:v>
      </x:c>
      <x:c r="C58" s="6" t="str">
        <x:v>CAPPER_REQUEST</x:v>
      </x:c>
      <x:c r="D58" s="6" t="str">
        <x:v>Relay contact 14 to field load</x:v>
      </x:c>
      <x:c r="E58" s="6" t="str">
        <x:v>C012</x:v>
      </x:c>
      <x:c r="F58" s="6" t="str">
        <x:v>7</x:v>
      </x:c>
      <x:c r="G58" s="6" t="str">
        <x:v>-IF140</x:v>
      </x:c>
      <x:c r="H58" s="6" t="str">
        <x:v>=FC01+FLD-IF140</x:v>
      </x:c>
      <x:c r="I58" s="6" t="str">
        <x:v>8</x:v>
      </x:c>
      <x:c r="J58" s="6" t="str">
        <x:v>-A103</x:v>
      </x:c>
      <x:c r="K58" s="6" t="str">
        <x:v>=FC01+CP01-A103</x:v>
      </x:c>
      <x:c r="L58" s="6" t="str">
        <x:v>8</x:v>
      </x:c>
      <x:c r="M58" s="6" t="str">
        <x:v>Q1.0</x:v>
      </x:c>
      <x:c r="N58" s="6" t="str">
        <x:v>+24VDC switched</x:v>
      </x:c>
      <x:c r="O58" s="6" t="str">
        <x:v>W0080</x:v>
      </x:c>
      <x:c r="P58" s="6" t="str"/>
      <x:c r="Q58" s="6" t="str">
        <x:v>Controlled Rev-D topology; conductor size/terminal family and native QET continuity verification remain open</x:v>
      </x:c>
    </x:row>
    <x:row r="59" ht="27" customHeight="1">
      <x:c r="A59" s="6" t="str">
        <x:v>X102:10</x:v>
      </x:c>
      <x:c r="B59" s="6" t="str">
        <x:v>=FC01+CP01-X102</x:v>
      </x:c>
      <x:c r="C59" s="6" t="str">
        <x:v>CAPPER_REQUEST</x:v>
      </x:c>
      <x:c r="D59" s="6" t="str">
        <x:v>Field load return</x:v>
      </x:c>
      <x:c r="E59" s="6" t="str">
        <x:v>C012</x:v>
      </x:c>
      <x:c r="F59" s="6" t="str">
        <x:v>8</x:v>
      </x:c>
      <x:c r="G59" s="6" t="str">
        <x:v>-IF140</x:v>
      </x:c>
      <x:c r="H59" s="6" t="str">
        <x:v>=FC01+FLD-IF140</x:v>
      </x:c>
      <x:c r="I59" s="6" t="str">
        <x:v>9</x:v>
      </x:c>
      <x:c r="J59" s="6" t="str">
        <x:v>-A103</x:v>
      </x:c>
      <x:c r="K59" s="6" t="str">
        <x:v>=FC01+CP01-A103</x:v>
      </x:c>
      <x:c r="L59" s="6" t="str">
        <x:v>8</x:v>
      </x:c>
      <x:c r="M59" s="6" t="str">
        <x:v>Q1.0</x:v>
      </x:c>
      <x:c r="N59" s="6" t="str">
        <x:v>0V</x:v>
      </x:c>
      <x:c r="O59" s="6" t="str">
        <x:v>W0081</x:v>
      </x:c>
      <x:c r="P59" s="6" t="str">
        <x:v>X0:0V</x:v>
      </x:c>
      <x:c r="Q59" s="6" t="str">
        <x:v>Controlled Rev-D topology; conductor size/terminal family and native QET continuity verification remain open</x:v>
      </x:c>
    </x:row>
    <x:row r="60" ht="27" customHeight="1">
      <x:c r="A60" s="6" t="str">
        <x:v>X102:11</x:v>
      </x:c>
      <x:c r="B60" s="6" t="str">
        <x:v>=FC01+CP01-X102</x:v>
      </x:c>
      <x:c r="C60" s="6" t="str">
        <x:v>STACK_GREEN</x:v>
      </x:c>
      <x:c r="D60" s="6" t="str">
        <x:v>Relay contact 14 to field load</x:v>
      </x:c>
      <x:c r="E60" s="6" t="str">
        <x:v>C019</x:v>
      </x:c>
      <x:c r="F60" s="6" t="str">
        <x:v>1</x:v>
      </x:c>
      <x:c r="G60" s="6" t="str">
        <x:v>-H101</x:v>
      </x:c>
      <x:c r="H60" s="6" t="str">
        <x:v>=FC01+FLD-H101</x:v>
      </x:c>
      <x:c r="I60" s="6" t="str">
        <x:v>G</x:v>
      </x:c>
      <x:c r="J60" s="6" t="str">
        <x:v>-A103</x:v>
      </x:c>
      <x:c r="K60" s="6" t="str">
        <x:v>=FC01+CP01-A103</x:v>
      </x:c>
      <x:c r="L60" s="6" t="str">
        <x:v>9</x:v>
      </x:c>
      <x:c r="M60" s="6" t="str">
        <x:v>Q1.1</x:v>
      </x:c>
      <x:c r="N60" s="6" t="str">
        <x:v>+24VDC switched</x:v>
      </x:c>
      <x:c r="O60" s="6" t="str">
        <x:v>W0085</x:v>
      </x:c>
      <x:c r="P60" s="6" t="str"/>
      <x:c r="Q60" s="6" t="str">
        <x:v>Controlled Rev-D topology; conductor size/terminal family and native QET continuity verification remain open</x:v>
      </x:c>
    </x:row>
    <x:row r="61" ht="27" customHeight="1">
      <x:c r="A61" s="6" t="str">
        <x:v>X102:12</x:v>
      </x:c>
      <x:c r="B61" s="6" t="str">
        <x:v>=FC01+CP01-X102</x:v>
      </x:c>
      <x:c r="C61" s="6" t="str">
        <x:v>STACK_GREEN</x:v>
      </x:c>
      <x:c r="D61" s="6" t="str">
        <x:v>Field load return</x:v>
      </x:c>
      <x:c r="E61" s="6" t="str">
        <x:v>C019</x:v>
      </x:c>
      <x:c r="F61" s="6" t="str">
        <x:v>2</x:v>
      </x:c>
      <x:c r="G61" s="6" t="str">
        <x:v>-H101</x:v>
      </x:c>
      <x:c r="H61" s="6" t="str">
        <x:v>=FC01+FLD-H101</x:v>
      </x:c>
      <x:c r="I61" s="6" t="str">
        <x:v>COM-G</x:v>
      </x:c>
      <x:c r="J61" s="6" t="str">
        <x:v>-A103</x:v>
      </x:c>
      <x:c r="K61" s="6" t="str">
        <x:v>=FC01+CP01-A103</x:v>
      </x:c>
      <x:c r="L61" s="6" t="str">
        <x:v>9</x:v>
      </x:c>
      <x:c r="M61" s="6" t="str">
        <x:v>Q1.1</x:v>
      </x:c>
      <x:c r="N61" s="6" t="str">
        <x:v>0V</x:v>
      </x:c>
      <x:c r="O61" s="6" t="str">
        <x:v>W0086</x:v>
      </x:c>
      <x:c r="P61" s="6" t="str">
        <x:v>X0:0V</x:v>
      </x:c>
      <x:c r="Q61" s="6" t="str">
        <x:v>Controlled Rev-D topology; conductor size/terminal family and native QET continuity verification remain open</x:v>
      </x:c>
    </x:row>
    <x:row r="62" ht="27" customHeight="1">
      <x:c r="A62" s="6" t="str">
        <x:v>X102:13</x:v>
      </x:c>
      <x:c r="B62" s="6" t="str">
        <x:v>=FC01+CP01-X102</x:v>
      </x:c>
      <x:c r="C62" s="6" t="str">
        <x:v>STACK_AMBER</x:v>
      </x:c>
      <x:c r="D62" s="6" t="str">
        <x:v>Relay contact 14 to field load</x:v>
      </x:c>
      <x:c r="E62" s="6" t="str">
        <x:v>C019</x:v>
      </x:c>
      <x:c r="F62" s="6" t="str">
        <x:v>3</x:v>
      </x:c>
      <x:c r="G62" s="6" t="str">
        <x:v>-H101</x:v>
      </x:c>
      <x:c r="H62" s="6" t="str">
        <x:v>=FC01+FLD-H101</x:v>
      </x:c>
      <x:c r="I62" s="6" t="str">
        <x:v>A</x:v>
      </x:c>
      <x:c r="J62" s="6" t="str">
        <x:v>-A103</x:v>
      </x:c>
      <x:c r="K62" s="6" t="str">
        <x:v>=FC01+CP01-A103</x:v>
      </x:c>
      <x:c r="L62" s="6" t="str">
        <x:v>10</x:v>
      </x:c>
      <x:c r="M62" s="6" t="str">
        <x:v>Q1.2</x:v>
      </x:c>
      <x:c r="N62" s="6" t="str">
        <x:v>+24VDC switched</x:v>
      </x:c>
      <x:c r="O62" s="6" t="str">
        <x:v>W0090</x:v>
      </x:c>
      <x:c r="P62" s="6" t="str"/>
      <x:c r="Q62" s="6" t="str">
        <x:v>Controlled Rev-D topology; conductor size/terminal family and native QET continuity verification remain open</x:v>
      </x:c>
    </x:row>
    <x:row r="63" ht="27" customHeight="1">
      <x:c r="A63" s="6" t="str">
        <x:v>X102:14</x:v>
      </x:c>
      <x:c r="B63" s="6" t="str">
        <x:v>=FC01+CP01-X102</x:v>
      </x:c>
      <x:c r="C63" s="6" t="str">
        <x:v>STACK_AMBER</x:v>
      </x:c>
      <x:c r="D63" s="6" t="str">
        <x:v>Field load return</x:v>
      </x:c>
      <x:c r="E63" s="6" t="str">
        <x:v>C019</x:v>
      </x:c>
      <x:c r="F63" s="6" t="str">
        <x:v>4</x:v>
      </x:c>
      <x:c r="G63" s="6" t="str">
        <x:v>-H101</x:v>
      </x:c>
      <x:c r="H63" s="6" t="str">
        <x:v>=FC01+FLD-H101</x:v>
      </x:c>
      <x:c r="I63" s="6" t="str">
        <x:v>COM-A</x:v>
      </x:c>
      <x:c r="J63" s="6" t="str">
        <x:v>-A103</x:v>
      </x:c>
      <x:c r="K63" s="6" t="str">
        <x:v>=FC01+CP01-A103</x:v>
      </x:c>
      <x:c r="L63" s="6" t="str">
        <x:v>10</x:v>
      </x:c>
      <x:c r="M63" s="6" t="str">
        <x:v>Q1.2</x:v>
      </x:c>
      <x:c r="N63" s="6" t="str">
        <x:v>0V</x:v>
      </x:c>
      <x:c r="O63" s="6" t="str">
        <x:v>W0091</x:v>
      </x:c>
      <x:c r="P63" s="6" t="str">
        <x:v>X0:0V</x:v>
      </x:c>
      <x:c r="Q63" s="6" t="str">
        <x:v>Controlled Rev-D topology; conductor size/terminal family and native QET continuity verification remain open</x:v>
      </x:c>
    </x:row>
    <x:row r="64" ht="27" customHeight="1">
      <x:c r="A64" s="6" t="str">
        <x:v>X102:15</x:v>
      </x:c>
      <x:c r="B64" s="6" t="str">
        <x:v>=FC01+CP01-X102</x:v>
      </x:c>
      <x:c r="C64" s="6" t="str">
        <x:v>STACK_RED</x:v>
      </x:c>
      <x:c r="D64" s="6" t="str">
        <x:v>Relay contact 14 to field load</x:v>
      </x:c>
      <x:c r="E64" s="6" t="str">
        <x:v>C019</x:v>
      </x:c>
      <x:c r="F64" s="6" t="str">
        <x:v>5</x:v>
      </x:c>
      <x:c r="G64" s="6" t="str">
        <x:v>-H101</x:v>
      </x:c>
      <x:c r="H64" s="6" t="str">
        <x:v>=FC01+FLD-H101</x:v>
      </x:c>
      <x:c r="I64" s="6" t="str">
        <x:v>R</x:v>
      </x:c>
      <x:c r="J64" s="6" t="str">
        <x:v>-A103</x:v>
      </x:c>
      <x:c r="K64" s="6" t="str">
        <x:v>=FC01+CP01-A103</x:v>
      </x:c>
      <x:c r="L64" s="6" t="str">
        <x:v>11</x:v>
      </x:c>
      <x:c r="M64" s="6" t="str">
        <x:v>Q1.3</x:v>
      </x:c>
      <x:c r="N64" s="6" t="str">
        <x:v>+24VDC switched</x:v>
      </x:c>
      <x:c r="O64" s="6" t="str">
        <x:v>W0095</x:v>
      </x:c>
      <x:c r="P64" s="6" t="str"/>
      <x:c r="Q64" s="6" t="str">
        <x:v>Controlled Rev-D topology; conductor size/terminal family and native QET continuity verification remain open</x:v>
      </x:c>
    </x:row>
    <x:row r="65" ht="27" customHeight="1">
      <x:c r="A65" s="6" t="str">
        <x:v>X102:16</x:v>
      </x:c>
      <x:c r="B65" s="6" t="str">
        <x:v>=FC01+CP01-X102</x:v>
      </x:c>
      <x:c r="C65" s="6" t="str">
        <x:v>STACK_RED</x:v>
      </x:c>
      <x:c r="D65" s="6" t="str">
        <x:v>Field load return</x:v>
      </x:c>
      <x:c r="E65" s="6" t="str">
        <x:v>C019</x:v>
      </x:c>
      <x:c r="F65" s="6" t="str">
        <x:v>6</x:v>
      </x:c>
      <x:c r="G65" s="6" t="str">
        <x:v>-H101</x:v>
      </x:c>
      <x:c r="H65" s="6" t="str">
        <x:v>=FC01+FLD-H101</x:v>
      </x:c>
      <x:c r="I65" s="6" t="str">
        <x:v>COM-R</x:v>
      </x:c>
      <x:c r="J65" s="6" t="str">
        <x:v>-A103</x:v>
      </x:c>
      <x:c r="K65" s="6" t="str">
        <x:v>=FC01+CP01-A103</x:v>
      </x:c>
      <x:c r="L65" s="6" t="str">
        <x:v>11</x:v>
      </x:c>
      <x:c r="M65" s="6" t="str">
        <x:v>Q1.3</x:v>
      </x:c>
      <x:c r="N65" s="6" t="str">
        <x:v>0V</x:v>
      </x:c>
      <x:c r="O65" s="6" t="str">
        <x:v>W0096</x:v>
      </x:c>
      <x:c r="P65" s="6" t="str">
        <x:v>X0:0V</x:v>
      </x:c>
      <x:c r="Q65" s="6" t="str">
        <x:v>Controlled Rev-D topology; conductor size/terminal family and native QET continuity verification remain open</x:v>
      </x:c>
    </x:row>
    <x:row r="66" ht="27" customHeight="1">
      <x:c r="A66" s="6" t="str">
        <x:v>X102:17</x:v>
      </x:c>
      <x:c r="B66" s="6" t="str">
        <x:v>=FC01+CP01-X102</x:v>
      </x:c>
      <x:c r="C66" s="6" t="str">
        <x:v>AUDIBLE_ALARM</x:v>
      </x:c>
      <x:c r="D66" s="6" t="str">
        <x:v>Relay contact 14 to field load</x:v>
      </x:c>
      <x:c r="E66" s="6" t="str">
        <x:v>C019</x:v>
      </x:c>
      <x:c r="F66" s="6" t="str">
        <x:v>7</x:v>
      </x:c>
      <x:c r="G66" s="6" t="str">
        <x:v>-H101</x:v>
      </x:c>
      <x:c r="H66" s="6" t="str">
        <x:v>=FC01+FLD-H101</x:v>
      </x:c>
      <x:c r="I66" s="6" t="str">
        <x:v>S</x:v>
      </x:c>
      <x:c r="J66" s="6" t="str">
        <x:v>-A103</x:v>
      </x:c>
      <x:c r="K66" s="6" t="str">
        <x:v>=FC01+CP01-A103</x:v>
      </x:c>
      <x:c r="L66" s="6" t="str">
        <x:v>12</x:v>
      </x:c>
      <x:c r="M66" s="6" t="str">
        <x:v>Q1.4</x:v>
      </x:c>
      <x:c r="N66" s="6" t="str">
        <x:v>+24VDC switched</x:v>
      </x:c>
      <x:c r="O66" s="6" t="str">
        <x:v>W0100</x:v>
      </x:c>
      <x:c r="P66" s="6" t="str"/>
      <x:c r="Q66" s="6" t="str">
        <x:v>Controlled Rev-D topology; conductor size/terminal family and native QET continuity verification remain open</x:v>
      </x:c>
    </x:row>
    <x:row r="67" ht="27" customHeight="1">
      <x:c r="A67" s="6" t="str">
        <x:v>X102:18</x:v>
      </x:c>
      <x:c r="B67" s="6" t="str">
        <x:v>=FC01+CP01-X102</x:v>
      </x:c>
      <x:c r="C67" s="6" t="str">
        <x:v>AUDIBLE_ALARM</x:v>
      </x:c>
      <x:c r="D67" s="6" t="str">
        <x:v>Field load return</x:v>
      </x:c>
      <x:c r="E67" s="6" t="str">
        <x:v>C019</x:v>
      </x:c>
      <x:c r="F67" s="6" t="str">
        <x:v>8</x:v>
      </x:c>
      <x:c r="G67" s="6" t="str">
        <x:v>-H101</x:v>
      </x:c>
      <x:c r="H67" s="6" t="str">
        <x:v>=FC01+FLD-H101</x:v>
      </x:c>
      <x:c r="I67" s="6" t="str">
        <x:v>COM-S</x:v>
      </x:c>
      <x:c r="J67" s="6" t="str">
        <x:v>-A103</x:v>
      </x:c>
      <x:c r="K67" s="6" t="str">
        <x:v>=FC01+CP01-A103</x:v>
      </x:c>
      <x:c r="L67" s="6" t="str">
        <x:v>12</x:v>
      </x:c>
      <x:c r="M67" s="6" t="str">
        <x:v>Q1.4</x:v>
      </x:c>
      <x:c r="N67" s="6" t="str">
        <x:v>0V</x:v>
      </x:c>
      <x:c r="O67" s="6" t="str">
        <x:v>W0101</x:v>
      </x:c>
      <x:c r="P67" s="6" t="str">
        <x:v>X0:0V</x:v>
      </x:c>
      <x:c r="Q67" s="6" t="str">
        <x:v>Controlled Rev-D topology; conductor size/terminal family and native QET continuity verification remain open</x:v>
      </x:c>
    </x:row>
    <x:row r="68" ht="27" customHeight="1">
      <x:c r="A68" s="6" t="str">
        <x:v>X102:19</x:v>
      </x:c>
      <x:c r="B68" s="6" t="str">
        <x:v>=FC01+CP01-X102</x:v>
      </x:c>
      <x:c r="C68" s="6" t="str">
        <x:v>CAMERA_LIGHT_ENABLE</x:v>
      </x:c>
      <x:c r="D68" s="6" t="str">
        <x:v>Relay contact 14 to field load</x:v>
      </x:c>
      <x:c r="E68" s="6" t="str">
        <x:v>C020</x:v>
      </x:c>
      <x:c r="F68" s="6" t="str">
        <x:v>1</x:v>
      </x:c>
      <x:c r="G68" s="6" t="str">
        <x:v>-LT200</x:v>
      </x:c>
      <x:c r="H68" s="6" t="str">
        <x:v>=FC01+FLD-LT200</x:v>
      </x:c>
      <x:c r="I68" s="6" t="str">
        <x:v>1</x:v>
      </x:c>
      <x:c r="J68" s="6" t="str">
        <x:v>-A103</x:v>
      </x:c>
      <x:c r="K68" s="6" t="str">
        <x:v>=FC01+CP01-A103</x:v>
      </x:c>
      <x:c r="L68" s="6" t="str">
        <x:v>13</x:v>
      </x:c>
      <x:c r="M68" s="6" t="str">
        <x:v>Q1.5</x:v>
      </x:c>
      <x:c r="N68" s="6" t="str">
        <x:v>+24VDC switched</x:v>
      </x:c>
      <x:c r="O68" s="6" t="str">
        <x:v>W0105</x:v>
      </x:c>
      <x:c r="P68" s="6" t="str"/>
      <x:c r="Q68" s="6" t="str">
        <x:v>Controlled Rev-D topology; conductor size/terminal family and native QET continuity verification remain open</x:v>
      </x:c>
    </x:row>
    <x:row r="69" ht="27" customHeight="1">
      <x:c r="A69" s="6" t="str">
        <x:v>X102:20</x:v>
      </x:c>
      <x:c r="B69" s="6" t="str">
        <x:v>=FC01+CP01-X102</x:v>
      </x:c>
      <x:c r="C69" s="6" t="str">
        <x:v>CAMERA_LIGHT_ENABLE</x:v>
      </x:c>
      <x:c r="D69" s="6" t="str">
        <x:v>Field load return</x:v>
      </x:c>
      <x:c r="E69" s="6" t="str">
        <x:v>C020</x:v>
      </x:c>
      <x:c r="F69" s="6" t="str">
        <x:v>2</x:v>
      </x:c>
      <x:c r="G69" s="6" t="str">
        <x:v>-LT200</x:v>
      </x:c>
      <x:c r="H69" s="6" t="str">
        <x:v>=FC01+FLD-LT200</x:v>
      </x:c>
      <x:c r="I69" s="6" t="str">
        <x:v>2</x:v>
      </x:c>
      <x:c r="J69" s="6" t="str">
        <x:v>-A103</x:v>
      </x:c>
      <x:c r="K69" s="6" t="str">
        <x:v>=FC01+CP01-A103</x:v>
      </x:c>
      <x:c r="L69" s="6" t="str">
        <x:v>13</x:v>
      </x:c>
      <x:c r="M69" s="6" t="str">
        <x:v>Q1.5</x:v>
      </x:c>
      <x:c r="N69" s="6" t="str">
        <x:v>0V</x:v>
      </x:c>
      <x:c r="O69" s="6" t="str">
        <x:v>W0106</x:v>
      </x:c>
      <x:c r="P69" s="6" t="str">
        <x:v>X0:0V</x:v>
      </x:c>
      <x:c r="Q69" s="6" t="str">
        <x:v>Controlled Rev-D topology; conductor size/terminal family and native QET continuity verification remain open</x:v>
      </x:c>
    </x:row>
    <x:row r="70" ht="27" customHeight="1">
      <x:c r="A70" s="6" t="str">
        <x:v>X102:21</x:v>
      </x:c>
      <x:c r="B70" s="6" t="str">
        <x:v>=FC01+CP01-X102</x:v>
      </x:c>
      <x:c r="C70" s="6" t="str">
        <x:v>FLOW_1_MA_RAW</x:v>
      </x:c>
      <x:c r="D70" s="6" t="str">
        <x:v>4-20 mA signal positive</x:v>
      </x:c>
      <x:c r="E70" s="6" t="str">
        <x:v>C021</x:v>
      </x:c>
      <x:c r="F70" s="6" t="str">
        <x:v>1</x:v>
      </x:c>
      <x:c r="G70" s="6" t="str">
        <x:v>-FT100</x:v>
      </x:c>
      <x:c r="H70" s="6" t="str">
        <x:v>=FC01+FLD-FT100</x:v>
      </x:c>
      <x:c r="I70" s="6" t="str">
        <x:v>SIG+</x:v>
      </x:c>
      <x:c r="J70" s="6" t="str">
        <x:v>-A104</x:v>
      </x:c>
      <x:c r="K70" s="6" t="str">
        <x:v>=FC01+CP01-A104</x:v>
      </x:c>
      <x:c r="L70" s="6" t="str">
        <x:v>0</x:v>
      </x:c>
      <x:c r="M70" s="6" t="str">
        <x:v>IW64</x:v>
      </x:c>
      <x:c r="N70" s="6" t="str">
        <x:v>4-20mA</x:v>
      </x:c>
      <x:c r="O70" s="6" t="str">
        <x:v>W0107</x:v>
      </x:c>
      <x:c r="P70" s="6" t="str"/>
      <x:c r="Q70" s="6" t="str">
        <x:v>Controlled Rev-D topology; conductor size/terminal family and native QET continuity verification remain open</x:v>
      </x:c>
    </x:row>
    <x:row r="71" ht="27" customHeight="1">
      <x:c r="A71" s="6" t="str">
        <x:v>X102:22</x:v>
      </x:c>
      <x:c r="B71" s="6" t="str">
        <x:v>=FC01+CP01-X102</x:v>
      </x:c>
      <x:c r="C71" s="6" t="str">
        <x:v>FLOW_1_MA_RAW</x:v>
      </x:c>
      <x:c r="D71" s="6" t="str">
        <x:v>Instrument supply</x:v>
      </x:c>
      <x:c r="E71" s="6" t="str">
        <x:v>C021</x:v>
      </x:c>
      <x:c r="F71" s="6" t="str">
        <x:v>2</x:v>
      </x:c>
      <x:c r="G71" s="6" t="str">
        <x:v>-FT100</x:v>
      </x:c>
      <x:c r="H71" s="6" t="str">
        <x:v>=FC01+FLD-FT100</x:v>
      </x:c>
      <x:c r="I71" s="6" t="str">
        <x:v>+</x:v>
      </x:c>
      <x:c r="J71" s="6" t="str">
        <x:v>-A104</x:v>
      </x:c>
      <x:c r="K71" s="6" t="str">
        <x:v>=FC01+CP01-A104</x:v>
      </x:c>
      <x:c r="L71" s="6" t="str">
        <x:v>0</x:v>
      </x:c>
      <x:c r="M71" s="6" t="str">
        <x:v>IW64</x:v>
      </x:c>
      <x:c r="N71" s="6" t="str">
        <x:v>+24VDC fused</x:v>
      </x:c>
      <x:c r="O71" s="6" t="str">
        <x:v>W0108</x:v>
      </x:c>
      <x:c r="P71" s="6" t="str"/>
      <x:c r="Q71" s="6" t="str">
        <x:v>Controlled Rev-D topology; conductor size/terminal family and native QET continuity verification remain open</x:v>
      </x:c>
    </x:row>
    <x:row r="72" ht="27" customHeight="1">
      <x:c r="A72" s="6" t="str">
        <x:v>X102:23</x:v>
      </x:c>
      <x:c r="B72" s="6" t="str">
        <x:v>=FC01+CP01-X102</x:v>
      </x:c>
      <x:c r="C72" s="6" t="str">
        <x:v>FLOW_1_MA_RAW</x:v>
      </x:c>
      <x:c r="D72" s="6" t="str">
        <x:v>Analog signal return</x:v>
      </x:c>
      <x:c r="E72" s="6" t="str">
        <x:v>C021</x:v>
      </x:c>
      <x:c r="F72" s="6" t="str">
        <x:v>3</x:v>
      </x:c>
      <x:c r="G72" s="6" t="str">
        <x:v>-FT100</x:v>
      </x:c>
      <x:c r="H72" s="6" t="str">
        <x:v>=FC01+FLD-FT100</x:v>
      </x:c>
      <x:c r="I72" s="6" t="str">
        <x:v>SIG-</x:v>
      </x:c>
      <x:c r="J72" s="6" t="str">
        <x:v>-A104</x:v>
      </x:c>
      <x:c r="K72" s="6" t="str">
        <x:v>=FC01+CP01-A104</x:v>
      </x:c>
      <x:c r="L72" s="6" t="str">
        <x:v>0</x:v>
      </x:c>
      <x:c r="M72" s="6" t="str">
        <x:v>IW64</x:v>
      </x:c>
      <x:c r="N72" s="6" t="str">
        <x:v>0V analog</x:v>
      </x:c>
      <x:c r="O72" s="6" t="str">
        <x:v>W0109</x:v>
      </x:c>
      <x:c r="P72" s="6" t="str">
        <x:v>X0:MANA</x:v>
      </x:c>
      <x:c r="Q72" s="6" t="str">
        <x:v>Controlled Rev-D topology; conductor size/terminal family and native QET continuity verification remain open</x:v>
      </x:c>
    </x:row>
    <x:row r="73" ht="27" customHeight="1">
      <x:c r="A73" s="6" t="str">
        <x:v>X102:24</x:v>
      </x:c>
      <x:c r="B73" s="6" t="str">
        <x:v>=FC01+CP01-X102</x:v>
      </x:c>
      <x:c r="C73" s="6" t="str">
        <x:v>FLOW_1_MA_RAW</x:v>
      </x:c>
      <x:c r="D73" s="6" t="str">
        <x:v>Cable shield</x:v>
      </x:c>
      <x:c r="E73" s="6" t="str">
        <x:v>C021</x:v>
      </x:c>
      <x:c r="F73" s="6" t="str">
        <x:v>SH</x:v>
      </x:c>
      <x:c r="G73" s="6" t="str">
        <x:v>-FT100</x:v>
      </x:c>
      <x:c r="H73" s="6" t="str">
        <x:v>=FC01+FLD-FT100</x:v>
      </x:c>
      <x:c r="I73" s="6" t="str">
        <x:v>SH</x:v>
      </x:c>
      <x:c r="J73" s="6" t="str">
        <x:v>-A104</x:v>
      </x:c>
      <x:c r="K73" s="6" t="str">
        <x:v>=FC01+CP01-A104</x:v>
      </x:c>
      <x:c r="L73" s="6" t="str">
        <x:v>0</x:v>
      </x:c>
      <x:c r="M73" s="6" t="str">
        <x:v>IW64</x:v>
      </x:c>
      <x:c r="N73" s="6" t="str">
        <x:v>FE</x:v>
      </x:c>
      <x:c r="O73" s="6" t="str">
        <x:v>W0110</x:v>
      </x:c>
      <x:c r="P73" s="6" t="str">
        <x:v>SC100 panel-end only</x:v>
      </x:c>
      <x:c r="Q73" s="6" t="str">
        <x:v>Controlled Rev-D topology; conductor size/terminal family and native QET continuity verification remain open</x:v>
      </x:c>
    </x:row>
    <x:row r="74" ht="27" customHeight="1">
      <x:c r="A74" s="6" t="str">
        <x:v>X103:1</x:v>
      </x:c>
      <x:c r="B74" s="6" t="str">
        <x:v>=FC01+CP01-X103</x:v>
      </x:c>
      <x:c r="C74" s="6" t="str">
        <x:v>FLOW_2_MA_RAW</x:v>
      </x:c>
      <x:c r="D74" s="6" t="str">
        <x:v>4-20 mA signal positive</x:v>
      </x:c>
      <x:c r="E74" s="6" t="str">
        <x:v>C022</x:v>
      </x:c>
      <x:c r="F74" s="6" t="str">
        <x:v>1</x:v>
      </x:c>
      <x:c r="G74" s="6" t="str">
        <x:v>-FT101</x:v>
      </x:c>
      <x:c r="H74" s="6" t="str">
        <x:v>=FC01+FLD-FT101</x:v>
      </x:c>
      <x:c r="I74" s="6" t="str">
        <x:v>SIG+</x:v>
      </x:c>
      <x:c r="J74" s="6" t="str">
        <x:v>-A104</x:v>
      </x:c>
      <x:c r="K74" s="6" t="str">
        <x:v>=FC01+CP01-A104</x:v>
      </x:c>
      <x:c r="L74" s="6" t="str">
        <x:v>1</x:v>
      </x:c>
      <x:c r="M74" s="6" t="str">
        <x:v>IW66</x:v>
      </x:c>
      <x:c r="N74" s="6" t="str">
        <x:v>4-20mA</x:v>
      </x:c>
      <x:c r="O74" s="6" t="str">
        <x:v>W0111</x:v>
      </x:c>
      <x:c r="P74" s="6" t="str"/>
      <x:c r="Q74" s="6" t="str">
        <x:v>Controlled Rev-D topology; conductor size/terminal family and native QET continuity verification remain open</x:v>
      </x:c>
    </x:row>
    <x:row r="75" ht="27" customHeight="1">
      <x:c r="A75" s="6" t="str">
        <x:v>X103:2</x:v>
      </x:c>
      <x:c r="B75" s="6" t="str">
        <x:v>=FC01+CP01-X103</x:v>
      </x:c>
      <x:c r="C75" s="6" t="str">
        <x:v>FLOW_2_MA_RAW</x:v>
      </x:c>
      <x:c r="D75" s="6" t="str">
        <x:v>Instrument supply</x:v>
      </x:c>
      <x:c r="E75" s="6" t="str">
        <x:v>C022</x:v>
      </x:c>
      <x:c r="F75" s="6" t="str">
        <x:v>2</x:v>
      </x:c>
      <x:c r="G75" s="6" t="str">
        <x:v>-FT101</x:v>
      </x:c>
      <x:c r="H75" s="6" t="str">
        <x:v>=FC01+FLD-FT101</x:v>
      </x:c>
      <x:c r="I75" s="6" t="str">
        <x:v>+</x:v>
      </x:c>
      <x:c r="J75" s="6" t="str">
        <x:v>-A104</x:v>
      </x:c>
      <x:c r="K75" s="6" t="str">
        <x:v>=FC01+CP01-A104</x:v>
      </x:c>
      <x:c r="L75" s="6" t="str">
        <x:v>1</x:v>
      </x:c>
      <x:c r="M75" s="6" t="str">
        <x:v>IW66</x:v>
      </x:c>
      <x:c r="N75" s="6" t="str">
        <x:v>+24VDC fused</x:v>
      </x:c>
      <x:c r="O75" s="6" t="str">
        <x:v>W0112</x:v>
      </x:c>
      <x:c r="P75" s="6" t="str"/>
      <x:c r="Q75" s="6" t="str">
        <x:v>Controlled Rev-D topology; conductor size/terminal family and native QET continuity verification remain open</x:v>
      </x:c>
    </x:row>
    <x:row r="76" ht="27" customHeight="1">
      <x:c r="A76" s="6" t="str">
        <x:v>X103:3</x:v>
      </x:c>
      <x:c r="B76" s="6" t="str">
        <x:v>=FC01+CP01-X103</x:v>
      </x:c>
      <x:c r="C76" s="6" t="str">
        <x:v>FLOW_2_MA_RAW</x:v>
      </x:c>
      <x:c r="D76" s="6" t="str">
        <x:v>Analog signal return</x:v>
      </x:c>
      <x:c r="E76" s="6" t="str">
        <x:v>C022</x:v>
      </x:c>
      <x:c r="F76" s="6" t="str">
        <x:v>3</x:v>
      </x:c>
      <x:c r="G76" s="6" t="str">
        <x:v>-FT101</x:v>
      </x:c>
      <x:c r="H76" s="6" t="str">
        <x:v>=FC01+FLD-FT101</x:v>
      </x:c>
      <x:c r="I76" s="6" t="str">
        <x:v>SIG-</x:v>
      </x:c>
      <x:c r="J76" s="6" t="str">
        <x:v>-A104</x:v>
      </x:c>
      <x:c r="K76" s="6" t="str">
        <x:v>=FC01+CP01-A104</x:v>
      </x:c>
      <x:c r="L76" s="6" t="str">
        <x:v>1</x:v>
      </x:c>
      <x:c r="M76" s="6" t="str">
        <x:v>IW66</x:v>
      </x:c>
      <x:c r="N76" s="6" t="str">
        <x:v>0V analog</x:v>
      </x:c>
      <x:c r="O76" s="6" t="str">
        <x:v>W0113</x:v>
      </x:c>
      <x:c r="P76" s="6" t="str">
        <x:v>X0:MANA</x:v>
      </x:c>
      <x:c r="Q76" s="6" t="str">
        <x:v>Controlled Rev-D topology; conductor size/terminal family and native QET continuity verification remain open</x:v>
      </x:c>
    </x:row>
    <x:row r="77" ht="27" customHeight="1">
      <x:c r="A77" s="6" t="str">
        <x:v>X103:4</x:v>
      </x:c>
      <x:c r="B77" s="6" t="str">
        <x:v>=FC01+CP01-X103</x:v>
      </x:c>
      <x:c r="C77" s="6" t="str">
        <x:v>FLOW_2_MA_RAW</x:v>
      </x:c>
      <x:c r="D77" s="6" t="str">
        <x:v>Cable shield</x:v>
      </x:c>
      <x:c r="E77" s="6" t="str">
        <x:v>C022</x:v>
      </x:c>
      <x:c r="F77" s="6" t="str">
        <x:v>SH</x:v>
      </x:c>
      <x:c r="G77" s="6" t="str">
        <x:v>-FT101</x:v>
      </x:c>
      <x:c r="H77" s="6" t="str">
        <x:v>=FC01+FLD-FT101</x:v>
      </x:c>
      <x:c r="I77" s="6" t="str">
        <x:v>SH</x:v>
      </x:c>
      <x:c r="J77" s="6" t="str">
        <x:v>-A104</x:v>
      </x:c>
      <x:c r="K77" s="6" t="str">
        <x:v>=FC01+CP01-A104</x:v>
      </x:c>
      <x:c r="L77" s="6" t="str">
        <x:v>1</x:v>
      </x:c>
      <x:c r="M77" s="6" t="str">
        <x:v>IW66</x:v>
      </x:c>
      <x:c r="N77" s="6" t="str">
        <x:v>FE</x:v>
      </x:c>
      <x:c r="O77" s="6" t="str">
        <x:v>W0114</x:v>
      </x:c>
      <x:c r="P77" s="6" t="str">
        <x:v>SC100 panel-end only</x:v>
      </x:c>
      <x:c r="Q77" s="6" t="str">
        <x:v>Controlled Rev-D topology; conductor size/terminal family and native QET continuity verification remain open</x:v>
      </x:c>
    </x:row>
    <x:row r="78" ht="27" customHeight="1">
      <x:c r="A78" s="6" t="str">
        <x:v>X103:5</x:v>
      </x:c>
      <x:c r="B78" s="6" t="str">
        <x:v>=FC01+CP01-X103</x:v>
      </x:c>
      <x:c r="C78" s="6" t="str">
        <x:v>FLOW_1_PULSE</x:v>
      </x:c>
      <x:c r="D78" s="6" t="str">
        <x:v>Counter pulse</x:v>
      </x:c>
      <x:c r="E78" s="6" t="str">
        <x:v>C021</x:v>
      </x:c>
      <x:c r="F78" s="6" t="str">
        <x:v>4</x:v>
      </x:c>
      <x:c r="G78" s="6" t="str">
        <x:v>-FT100</x:v>
      </x:c>
      <x:c r="H78" s="6" t="str">
        <x:v>=FC01+FLD-FT100</x:v>
      </x:c>
      <x:c r="I78" s="6" t="str">
        <x:v>PULSE</x:v>
      </x:c>
      <x:c r="J78" s="6" t="str">
        <x:v>-A101</x:v>
      </x:c>
      <x:c r="K78" s="6" t="str">
        <x:v>=FC01+CP01-A101</x:v>
      </x:c>
      <x:c r="L78" s="6" t="str">
        <x:v>CH0 A</x:v>
      </x:c>
      <x:c r="M78" s="6" t="str">
        <x:v>TM1.CH0.A</x:v>
      </x:c>
      <x:c r="N78" s="6" t="str">
        <x:v>24 V pulse</x:v>
      </x:c>
      <x:c r="O78" s="6" t="str">
        <x:v>W0115</x:v>
      </x:c>
      <x:c r="P78" s="6" t="str"/>
      <x:c r="Q78" s="6" t="str">
        <x:v>Controlled Rev-D topology; conductor size/terminal family and native QET continuity verification remain open</x:v>
      </x:c>
    </x:row>
    <x:row r="79" ht="27" customHeight="1">
      <x:c r="A79" s="6" t="str">
        <x:v>X103:6</x:v>
      </x:c>
      <x:c r="B79" s="6" t="str">
        <x:v>=FC01+CP01-X103</x:v>
      </x:c>
      <x:c r="C79" s="6" t="str">
        <x:v>FLOW_1_PULSE</x:v>
      </x:c>
      <x:c r="D79" s="6" t="str">
        <x:v>Counter reference</x:v>
      </x:c>
      <x:c r="E79" s="6" t="str">
        <x:v>C021</x:v>
      </x:c>
      <x:c r="F79" s="6" t="str">
        <x:v>5</x:v>
      </x:c>
      <x:c r="G79" s="6" t="str">
        <x:v>-FT100</x:v>
      </x:c>
      <x:c r="H79" s="6" t="str">
        <x:v>=FC01+FLD-FT100</x:v>
      </x:c>
      <x:c r="I79" s="6" t="str">
        <x:v>0V</x:v>
      </x:c>
      <x:c r="J79" s="6" t="str">
        <x:v>-A101</x:v>
      </x:c>
      <x:c r="K79" s="6" t="str">
        <x:v>=FC01+CP01-A101</x:v>
      </x:c>
      <x:c r="L79" s="6" t="str">
        <x:v>CH0 A</x:v>
      </x:c>
      <x:c r="M79" s="6" t="str">
        <x:v>TM1.CH0.A</x:v>
      </x:c>
      <x:c r="N79" s="6" t="str">
        <x:v>0V</x:v>
      </x:c>
      <x:c r="O79" s="6" t="str">
        <x:v>W0116</x:v>
      </x:c>
      <x:c r="P79" s="6" t="str">
        <x:v>X0:0V</x:v>
      </x:c>
      <x:c r="Q79" s="6" t="str">
        <x:v>Controlled Rev-D topology; conductor size/terminal family and native QET continuity verification remain open</x:v>
      </x:c>
    </x:row>
    <x:row r="80" ht="27" customHeight="1">
      <x:c r="A80" s="6" t="str">
        <x:v>X103:7</x:v>
      </x:c>
      <x:c r="B80" s="6" t="str">
        <x:v>=FC01+CP01-X103</x:v>
      </x:c>
      <x:c r="C80" s="6" t="str">
        <x:v>FLOW_2_PULSE</x:v>
      </x:c>
      <x:c r="D80" s="6" t="str">
        <x:v>Counter pulse</x:v>
      </x:c>
      <x:c r="E80" s="6" t="str">
        <x:v>C022</x:v>
      </x:c>
      <x:c r="F80" s="6" t="str">
        <x:v>4</x:v>
      </x:c>
      <x:c r="G80" s="6" t="str">
        <x:v>-FT101</x:v>
      </x:c>
      <x:c r="H80" s="6" t="str">
        <x:v>=FC01+FLD-FT101</x:v>
      </x:c>
      <x:c r="I80" s="6" t="str">
        <x:v>PULSE</x:v>
      </x:c>
      <x:c r="J80" s="6" t="str">
        <x:v>-A101</x:v>
      </x:c>
      <x:c r="K80" s="6" t="str">
        <x:v>=FC01+CP01-A101</x:v>
      </x:c>
      <x:c r="L80" s="6" t="str">
        <x:v>CH1 A</x:v>
      </x:c>
      <x:c r="M80" s="6" t="str">
        <x:v>TM1.CH1.A</x:v>
      </x:c>
      <x:c r="N80" s="6" t="str">
        <x:v>24 V pulse</x:v>
      </x:c>
      <x:c r="O80" s="6" t="str">
        <x:v>W0117</x:v>
      </x:c>
      <x:c r="P80" s="6" t="str"/>
      <x:c r="Q80" s="6" t="str">
        <x:v>Controlled Rev-D topology; conductor size/terminal family and native QET continuity verification remain open</x:v>
      </x:c>
    </x:row>
    <x:row r="81" ht="27" customHeight="1">
      <x:c r="A81" s="6" t="str">
        <x:v>X103:8</x:v>
      </x:c>
      <x:c r="B81" s="6" t="str">
        <x:v>=FC01+CP01-X103</x:v>
      </x:c>
      <x:c r="C81" s="6" t="str">
        <x:v>FLOW_2_PULSE</x:v>
      </x:c>
      <x:c r="D81" s="6" t="str">
        <x:v>Counter reference</x:v>
      </x:c>
      <x:c r="E81" s="6" t="str">
        <x:v>C022</x:v>
      </x:c>
      <x:c r="F81" s="6" t="str">
        <x:v>5</x:v>
      </x:c>
      <x:c r="G81" s="6" t="str">
        <x:v>-FT101</x:v>
      </x:c>
      <x:c r="H81" s="6" t="str">
        <x:v>=FC01+FLD-FT101</x:v>
      </x:c>
      <x:c r="I81" s="6" t="str">
        <x:v>0V</x:v>
      </x:c>
      <x:c r="J81" s="6" t="str">
        <x:v>-A101</x:v>
      </x:c>
      <x:c r="K81" s="6" t="str">
        <x:v>=FC01+CP01-A101</x:v>
      </x:c>
      <x:c r="L81" s="6" t="str">
        <x:v>CH1 A</x:v>
      </x:c>
      <x:c r="M81" s="6" t="str">
        <x:v>TM1.CH1.A</x:v>
      </x:c>
      <x:c r="N81" s="6" t="str">
        <x:v>0V</x:v>
      </x:c>
      <x:c r="O81" s="6" t="str">
        <x:v>W0118</x:v>
      </x:c>
      <x:c r="P81" s="6" t="str">
        <x:v>X0:0V</x:v>
      </x:c>
      <x:c r="Q81" s="6" t="str">
        <x:v>Controlled Rev-D topology; conductor size/terminal family and native QET continuity verification remain open</x:v>
      </x:c>
    </x:row>
    <x:row r="82" ht="27" customHeight="1">
      <x:c r="A82" s="6" t="str">
        <x:v>X24:+24V</x:v>
      </x:c>
      <x:c r="B82" s="6" t="str">
        <x:v>=FC01+CP01-X24</x:v>
      </x:c>
      <x:c r="C82" s="6" t="str">
        <x:v>X24:+24V</x:v>
      </x:c>
      <x:c r="D82" s="6" t="str">
        <x:v>Fused 24 VDC distribution reference</x:v>
      </x:c>
      <x:c r="E82" s="6" t="str"/>
      <x:c r="F82" s="6" t="str"/>
      <x:c r="G82" s="6" t="str"/>
      <x:c r="H82" s="6" t="str"/>
      <x:c r="I82" s="6" t="str"/>
      <x:c r="J82" s="6" t="str"/>
      <x:c r="K82" s="6" t="str"/>
      <x:c r="L82" s="6" t="str"/>
      <x:c r="M82" s="6" t="str"/>
      <x:c r="N82" s="6" t="str">
        <x:v>+24VDC</x:v>
      </x:c>
      <x:c r="O82" s="6" t="str"/>
      <x:c r="P82" s="6" t="str"/>
      <x:c r="Q82" s="6" t="str">
        <x:v>Final product family and bridge plan open</x:v>
      </x:c>
    </x:row>
    <x:row r="83" ht="27" customHeight="1">
      <x:c r="A83" s="6" t="str">
        <x:v>X0:0V</x:v>
      </x:c>
      <x:c r="B83" s="6" t="str">
        <x:v>=FC01+CP01-X0</x:v>
      </x:c>
      <x:c r="C83" s="6" t="str">
        <x:v>X0:0V</x:v>
      </x:c>
      <x:c r="D83" s="6" t="str">
        <x:v>0 V distribution reference</x:v>
      </x:c>
      <x:c r="E83" s="6" t="str"/>
      <x:c r="F83" s="6" t="str"/>
      <x:c r="G83" s="6" t="str"/>
      <x:c r="H83" s="6" t="str"/>
      <x:c r="I83" s="6" t="str"/>
      <x:c r="J83" s="6" t="str"/>
      <x:c r="K83" s="6" t="str"/>
      <x:c r="L83" s="6" t="str"/>
      <x:c r="M83" s="6" t="str"/>
      <x:c r="N83" s="6" t="str">
        <x:v>0V</x:v>
      </x:c>
      <x:c r="O83" s="6" t="str"/>
      <x:c r="P83" s="6" t="str"/>
      <x:c r="Q83" s="6" t="str">
        <x:v>0 V/PE bonding policy requires site EMC decision</x:v>
      </x:c>
    </x:row>
    <x:row r="84" ht="27" customHeight="1">
      <x:c r="A84" s="6" t="str">
        <x:v>X0:MANA</x:v>
      </x:c>
      <x:c r="B84" s="6" t="str">
        <x:v>=FC01+CP01-X0</x:v>
      </x:c>
      <x:c r="C84" s="6" t="str">
        <x:v>X0:MANA</x:v>
      </x:c>
      <x:c r="D84" s="6" t="str">
        <x:v>Analog reference</x:v>
      </x:c>
      <x:c r="E84" s="6" t="str"/>
      <x:c r="F84" s="6" t="str"/>
      <x:c r="G84" s="6" t="str"/>
      <x:c r="H84" s="6" t="str"/>
      <x:c r="I84" s="6" t="str"/>
      <x:c r="J84" s="6" t="str"/>
      <x:c r="K84" s="6" t="str"/>
      <x:c r="L84" s="6" t="str"/>
      <x:c r="M84" s="6" t="str"/>
      <x:c r="N84" s="6" t="str">
        <x:v>0V analog</x:v>
      </x:c>
      <x:c r="O84" s="6" t="str"/>
      <x:c r="P84" s="6" t="str"/>
      <x:c r="Q84" s="6" t="str">
        <x:v>MANA/0 V bonding follows AI manual and approved EMC plan; native verification open</x:v>
      </x:c>
    </x:row>
    <x:row r="85" ht="27" customHeight="1">
      <x:c r="A85" s="6" t="str">
        <x:v>SC100:1</x:v>
      </x:c>
      <x:c r="B85" s="6" t="str">
        <x:v>=FC01+CP01-SC100</x:v>
      </x:c>
      <x:c r="C85" s="6" t="str">
        <x:v>SC100:1</x:v>
      </x:c>
      <x:c r="D85" s="6" t="str">
        <x:v>Panel-end shield clamp bonded once to PE100/functional earth</x:v>
      </x:c>
      <x:c r="E85" s="6" t="str"/>
      <x:c r="F85" s="6" t="str"/>
      <x:c r="G85" s="6" t="str"/>
      <x:c r="H85" s="6" t="str"/>
      <x:c r="I85" s="6" t="str"/>
      <x:c r="J85" s="6" t="str"/>
      <x:c r="K85" s="6" t="str"/>
      <x:c r="L85" s="6" t="str"/>
      <x:c r="M85" s="6" t="str"/>
      <x:c r="N85" s="6" t="str">
        <x:v>FE</x:v>
      </x:c>
      <x:c r="O85" s="6" t="str"/>
      <x:c r="P85" s="6" t="str"/>
      <x:c r="Q85" s="6" t="str">
        <x:v>Bond conductor size and physical route open pending EMC/PE design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22.5" hidden="0" customWidth="1"/>
  </x:cols>
  <x:sheetData>
    <x:row r="1" ht="31.5" customHeight="1">
      <x:c r="A1" s="12" t="str">
        <x:v>cable_id</x:v>
      </x:c>
      <x:c r="B1" s="12" t="str">
        <x:v>from_location</x:v>
      </x:c>
      <x:c r="C1" s="12" t="str">
        <x:v>to_device</x:v>
      </x:c>
      <x:c r="D1" s="12" t="str">
        <x:v>to_designation</x:v>
      </x:c>
      <x:c r="E1" s="12" t="str">
        <x:v>cable_type</x:v>
      </x:c>
      <x:c r="F1" s="12" t="str">
        <x:v>installed_cores</x:v>
      </x:c>
      <x:c r="G1" s="12" t="str">
        <x:v>allocated_cores</x:v>
      </x:c>
      <x:c r="H1" s="12" t="str">
        <x:v>spare_cores</x:v>
      </x:c>
      <x:c r="I1" s="12" t="str">
        <x:v>core_range</x:v>
      </x:c>
      <x:c r="J1" s="12" t="str">
        <x:v>shield</x:v>
      </x:c>
      <x:c r="K1" s="12" t="str">
        <x:v>route_zone</x:v>
      </x:c>
      <x:c r="L1" s="12" t="str">
        <x:v>status</x:v>
      </x:c>
    </x:row>
    <x:row r="2" ht="27" customHeight="1">
      <x:c r="A2" s="6" t="str">
        <x:v>C001</x:v>
      </x:c>
      <x:c r="B2" s="6" t="str">
        <x:v>=FC01+CP01 panel terminals</x:v>
      </x:c>
      <x:c r="C2" s="6" t="str">
        <x:v>-S102</x:v>
      </x:c>
      <x:c r="D2" s="6" t="str">
        <x:v>=FC01+FLD-S102</x:v>
      </x:c>
      <x:c r="E2" s="6" t="str">
        <x:v>Industrial control</x:v>
      </x:c>
      <x:c r="F2" s="6" t="str">
        <x:v>4</x:v>
      </x:c>
      <x:c r="G2" s="6" t="str">
        <x:v>2</x:v>
      </x:c>
      <x:c r="H2" s="6" t="str">
        <x:v>2</x:v>
      </x:c>
      <x:c r="I2" s="6" t="str">
        <x:v>1-2</x:v>
      </x:c>
      <x:c r="J2" s="6" t="str">
        <x:v>None scheduled</x:v>
      </x:c>
      <x:c r="K2" s="6" t="str">
        <x:v>24 VDC control</x:v>
      </x:c>
      <x:c r="L2" s="6" t="str">
        <x:v>Length, conductor size, installation method and final cable family open</x:v>
      </x:c>
    </x:row>
    <x:row r="3" ht="27" customHeight="1">
      <x:c r="A3" s="6" t="str">
        <x:v>C002</x:v>
      </x:c>
      <x:c r="B3" s="6" t="str">
        <x:v>=FC01+CP01 panel terminals</x:v>
      </x:c>
      <x:c r="C3" s="6" t="str">
        <x:v>-B100</x:v>
      </x:c>
      <x:c r="D3" s="6" t="str">
        <x:v>=FC01+FLD-B100</x:v>
      </x:c>
      <x:c r="E3" s="6" t="str">
        <x:v>Industrial control</x:v>
      </x:c>
      <x:c r="F3" s="6" t="str">
        <x:v>4</x:v>
      </x:c>
      <x:c r="G3" s="6" t="str">
        <x:v>3</x:v>
      </x:c>
      <x:c r="H3" s="6" t="str">
        <x:v>1</x:v>
      </x:c>
      <x:c r="I3" s="6" t="str">
        <x:v>1-3</x:v>
      </x:c>
      <x:c r="J3" s="6" t="str">
        <x:v>None scheduled</x:v>
      </x:c>
      <x:c r="K3" s="6" t="str">
        <x:v>24 VDC control</x:v>
      </x:c>
      <x:c r="L3" s="6" t="str">
        <x:v>Length, conductor size, installation method and final cable family open</x:v>
      </x:c>
    </x:row>
    <x:row r="4" ht="27" customHeight="1">
      <x:c r="A4" s="6" t="str">
        <x:v>C003</x:v>
      </x:c>
      <x:c r="B4" s="6" t="str">
        <x:v>=FC01+CP01 panel terminals</x:v>
      </x:c>
      <x:c r="C4" s="6" t="str">
        <x:v>-B101</x:v>
      </x:c>
      <x:c r="D4" s="6" t="str">
        <x:v>=FC01+FLD-B101</x:v>
      </x:c>
      <x:c r="E4" s="6" t="str">
        <x:v>Industrial control</x:v>
      </x:c>
      <x:c r="F4" s="6" t="str">
        <x:v>4</x:v>
      </x:c>
      <x:c r="G4" s="6" t="str">
        <x:v>3</x:v>
      </x:c>
      <x:c r="H4" s="6" t="str">
        <x:v>1</x:v>
      </x:c>
      <x:c r="I4" s="6" t="str">
        <x:v>1-3</x:v>
      </x:c>
      <x:c r="J4" s="6" t="str">
        <x:v>None scheduled</x:v>
      </x:c>
      <x:c r="K4" s="6" t="str">
        <x:v>24 VDC control</x:v>
      </x:c>
      <x:c r="L4" s="6" t="str">
        <x:v>Length, conductor size, installation method and final cable family open</x:v>
      </x:c>
    </x:row>
    <x:row r="5" ht="27" customHeight="1">
      <x:c r="A5" s="6" t="str">
        <x:v>C004</x:v>
      </x:c>
      <x:c r="B5" s="6" t="str">
        <x:v>=FC01+CP01 panel terminals</x:v>
      </x:c>
      <x:c r="C5" s="6" t="str">
        <x:v>-B110</x:v>
      </x:c>
      <x:c r="D5" s="6" t="str">
        <x:v>=FC01+FLD-B110</x:v>
      </x:c>
      <x:c r="E5" s="6" t="str">
        <x:v>Industrial control</x:v>
      </x:c>
      <x:c r="F5" s="6" t="str">
        <x:v>4</x:v>
      </x:c>
      <x:c r="G5" s="6" t="str">
        <x:v>3</x:v>
      </x:c>
      <x:c r="H5" s="6" t="str">
        <x:v>1</x:v>
      </x:c>
      <x:c r="I5" s="6" t="str">
        <x:v>1-3</x:v>
      </x:c>
      <x:c r="J5" s="6" t="str">
        <x:v>None scheduled</x:v>
      </x:c>
      <x:c r="K5" s="6" t="str">
        <x:v>24 VDC control</x:v>
      </x:c>
      <x:c r="L5" s="6" t="str">
        <x:v>Length, conductor size, installation method and final cable family open</x:v>
      </x:c>
    </x:row>
    <x:row r="6" ht="27" customHeight="1">
      <x:c r="A6" s="6" t="str">
        <x:v>C005</x:v>
      </x:c>
      <x:c r="B6" s="6" t="str">
        <x:v>=FC01+CP01 panel terminals</x:v>
      </x:c>
      <x:c r="C6" s="6" t="str">
        <x:v>-B111</x:v>
      </x:c>
      <x:c r="D6" s="6" t="str">
        <x:v>=FC01+FLD-B111</x:v>
      </x:c>
      <x:c r="E6" s="6" t="str">
        <x:v>Industrial control</x:v>
      </x:c>
      <x:c r="F6" s="6" t="str">
        <x:v>4</x:v>
      </x:c>
      <x:c r="G6" s="6" t="str">
        <x:v>3</x:v>
      </x:c>
      <x:c r="H6" s="6" t="str">
        <x:v>1</x:v>
      </x:c>
      <x:c r="I6" s="6" t="str">
        <x:v>1-3</x:v>
      </x:c>
      <x:c r="J6" s="6" t="str">
        <x:v>None scheduled</x:v>
      </x:c>
      <x:c r="K6" s="6" t="str">
        <x:v>24 VDC control</x:v>
      </x:c>
      <x:c r="L6" s="6" t="str">
        <x:v>Length, conductor size, installation method and final cable family open</x:v>
      </x:c>
    </x:row>
    <x:row r="7" ht="27" customHeight="1">
      <x:c r="A7" s="6" t="str">
        <x:v>C006</x:v>
      </x:c>
      <x:c r="B7" s="6" t="str">
        <x:v>=FC01+CP01 panel terminals</x:v>
      </x:c>
      <x:c r="C7" s="6" t="str">
        <x:v>-B120</x:v>
      </x:c>
      <x:c r="D7" s="6" t="str">
        <x:v>=FC01+FLD-B120</x:v>
      </x:c>
      <x:c r="E7" s="6" t="str">
        <x:v>Industrial control</x:v>
      </x:c>
      <x:c r="F7" s="6" t="str">
        <x:v>4</x:v>
      </x:c>
      <x:c r="G7" s="6" t="str">
        <x:v>3</x:v>
      </x:c>
      <x:c r="H7" s="6" t="str">
        <x:v>1</x:v>
      </x:c>
      <x:c r="I7" s="6" t="str">
        <x:v>1-3</x:v>
      </x:c>
      <x:c r="J7" s="6" t="str">
        <x:v>None scheduled</x:v>
      </x:c>
      <x:c r="K7" s="6" t="str">
        <x:v>24 VDC control</x:v>
      </x:c>
      <x:c r="L7" s="6" t="str">
        <x:v>Length, conductor size, installation method and final cable family open</x:v>
      </x:c>
    </x:row>
    <x:row r="8" ht="27" customHeight="1">
      <x:c r="A8" s="6" t="str">
        <x:v>C007</x:v>
      </x:c>
      <x:c r="B8" s="6" t="str">
        <x:v>=FC01+CP01 panel terminals</x:v>
      </x:c>
      <x:c r="C8" s="6" t="str">
        <x:v>-B121</x:v>
      </x:c>
      <x:c r="D8" s="6" t="str">
        <x:v>=FC01+FLD-B121</x:v>
      </x:c>
      <x:c r="E8" s="6" t="str">
        <x:v>Industrial control</x:v>
      </x:c>
      <x:c r="F8" s="6" t="str">
        <x:v>4</x:v>
      </x:c>
      <x:c r="G8" s="6" t="str">
        <x:v>3</x:v>
      </x:c>
      <x:c r="H8" s="6" t="str">
        <x:v>1</x:v>
      </x:c>
      <x:c r="I8" s="6" t="str">
        <x:v>1-3</x:v>
      </x:c>
      <x:c r="J8" s="6" t="str">
        <x:v>None scheduled</x:v>
      </x:c>
      <x:c r="K8" s="6" t="str">
        <x:v>24 VDC control</x:v>
      </x:c>
      <x:c r="L8" s="6" t="str">
        <x:v>Length, conductor size, installation method and final cable family open</x:v>
      </x:c>
    </x:row>
    <x:row r="9" ht="27" customHeight="1">
      <x:c r="A9" s="6" t="str">
        <x:v>C008</x:v>
      </x:c>
      <x:c r="B9" s="6" t="str">
        <x:v>=FC01+CP01 panel terminals</x:v>
      </x:c>
      <x:c r="C9" s="6" t="str">
        <x:v>-B122</x:v>
      </x:c>
      <x:c r="D9" s="6" t="str">
        <x:v>=FC01+FLD-B122</x:v>
      </x:c>
      <x:c r="E9" s="6" t="str">
        <x:v>Industrial control</x:v>
      </x:c>
      <x:c r="F9" s="6" t="str">
        <x:v>4</x:v>
      </x:c>
      <x:c r="G9" s="6" t="str">
        <x:v>3</x:v>
      </x:c>
      <x:c r="H9" s="6" t="str">
        <x:v>1</x:v>
      </x:c>
      <x:c r="I9" s="6" t="str">
        <x:v>1-3</x:v>
      </x:c>
      <x:c r="J9" s="6" t="str">
        <x:v>None scheduled</x:v>
      </x:c>
      <x:c r="K9" s="6" t="str">
        <x:v>24 VDC control</x:v>
      </x:c>
      <x:c r="L9" s="6" t="str">
        <x:v>Length, conductor size, installation method and final cable family open</x:v>
      </x:c>
    </x:row>
    <x:row r="10" ht="27" customHeight="1">
      <x:c r="A10" s="6" t="str">
        <x:v>C009</x:v>
      </x:c>
      <x:c r="B10" s="6" t="str">
        <x:v>=FC01+CP01 panel terminals</x:v>
      </x:c>
      <x:c r="C10" s="6" t="str">
        <x:v>-B123</x:v>
      </x:c>
      <x:c r="D10" s="6" t="str">
        <x:v>=FC01+FLD-B123</x:v>
      </x:c>
      <x:c r="E10" s="6" t="str">
        <x:v>Industrial control</x:v>
      </x:c>
      <x:c r="F10" s="6" t="str">
        <x:v>4</x:v>
      </x:c>
      <x:c r="G10" s="6" t="str">
        <x:v>3</x:v>
      </x:c>
      <x:c r="H10" s="6" t="str">
        <x:v>1</x:v>
      </x:c>
      <x:c r="I10" s="6" t="str">
        <x:v>1-3</x:v>
      </x:c>
      <x:c r="J10" s="6" t="str">
        <x:v>None scheduled</x:v>
      </x:c>
      <x:c r="K10" s="6" t="str">
        <x:v>24 VDC control</x:v>
      </x:c>
      <x:c r="L10" s="6" t="str">
        <x:v>Length, conductor size, installation method and final cable family open</x:v>
      </x:c>
    </x:row>
    <x:row r="11" ht="27" customHeight="1">
      <x:c r="A11" s="6" t="str">
        <x:v>C010</x:v>
      </x:c>
      <x:c r="B11" s="6" t="str">
        <x:v>=FC01+CP01 panel terminals</x:v>
      </x:c>
      <x:c r="C11" s="6" t="str">
        <x:v>-B130</x:v>
      </x:c>
      <x:c r="D11" s="6" t="str">
        <x:v>=FC01+FLD-B130</x:v>
      </x:c>
      <x:c r="E11" s="6" t="str">
        <x:v>Industrial control</x:v>
      </x:c>
      <x:c r="F11" s="6" t="str">
        <x:v>4</x:v>
      </x:c>
      <x:c r="G11" s="6" t="str">
        <x:v>3</x:v>
      </x:c>
      <x:c r="H11" s="6" t="str">
        <x:v>1</x:v>
      </x:c>
      <x:c r="I11" s="6" t="str">
        <x:v>1-3</x:v>
      </x:c>
      <x:c r="J11" s="6" t="str">
        <x:v>None scheduled</x:v>
      </x:c>
      <x:c r="K11" s="6" t="str">
        <x:v>24 VDC control</x:v>
      </x:c>
      <x:c r="L11" s="6" t="str">
        <x:v>Length, conductor size, installation method and final cable family open</x:v>
      </x:c>
    </x:row>
    <x:row r="12" ht="27" customHeight="1">
      <x:c r="A12" s="6" t="str">
        <x:v>C011</x:v>
      </x:c>
      <x:c r="B12" s="6" t="str">
        <x:v>=FC01+CP01 panel terminals</x:v>
      </x:c>
      <x:c r="C12" s="6" t="str">
        <x:v>-B131</x:v>
      </x:c>
      <x:c r="D12" s="6" t="str">
        <x:v>=FC01+FLD-B131</x:v>
      </x:c>
      <x:c r="E12" s="6" t="str">
        <x:v>Industrial control</x:v>
      </x:c>
      <x:c r="F12" s="6" t="str">
        <x:v>4</x:v>
      </x:c>
      <x:c r="G12" s="6" t="str">
        <x:v>3</x:v>
      </x:c>
      <x:c r="H12" s="6" t="str">
        <x:v>1</x:v>
      </x:c>
      <x:c r="I12" s="6" t="str">
        <x:v>1-3</x:v>
      </x:c>
      <x:c r="J12" s="6" t="str">
        <x:v>None scheduled</x:v>
      </x:c>
      <x:c r="K12" s="6" t="str">
        <x:v>24 VDC control</x:v>
      </x:c>
      <x:c r="L12" s="6" t="str">
        <x:v>Length, conductor size, installation method and final cable family open</x:v>
      </x:c>
    </x:row>
    <x:row r="13" ht="27" customHeight="1">
      <x:c r="A13" s="6" t="str">
        <x:v>C012</x:v>
      </x:c>
      <x:c r="B13" s="6" t="str">
        <x:v>=FC01+CP01 panel terminals</x:v>
      </x:c>
      <x:c r="C13" s="6" t="str">
        <x:v>-IF140</x:v>
      </x:c>
      <x:c r="D13" s="6" t="str">
        <x:v>=FC01+FLD-IF140</x:v>
      </x:c>
      <x:c r="E13" s="6" t="str">
        <x:v>Industrial control</x:v>
      </x:c>
      <x:c r="F13" s="6" t="str">
        <x:v>12</x:v>
      </x:c>
      <x:c r="G13" s="6" t="str">
        <x:v>8</x:v>
      </x:c>
      <x:c r="H13" s="6" t="str">
        <x:v>4</x:v>
      </x:c>
      <x:c r="I13" s="6" t="str">
        <x:v>1-8</x:v>
      </x:c>
      <x:c r="J13" s="6" t="str">
        <x:v>None scheduled</x:v>
      </x:c>
      <x:c r="K13" s="6" t="str">
        <x:v>24 VDC control</x:v>
      </x:c>
      <x:c r="L13" s="6" t="str">
        <x:v>Length, conductor size, installation method and final cable family open</x:v>
      </x:c>
    </x:row>
    <x:row r="14" ht="27" customHeight="1">
      <x:c r="A14" s="6" t="str">
        <x:v>C013</x:v>
      </x:c>
      <x:c r="B14" s="6" t="str">
        <x:v>=FC01+CP01 panel terminals</x:v>
      </x:c>
      <x:c r="C14" s="6" t="str">
        <x:v>-S100</x:v>
      </x:c>
      <x:c r="D14" s="6" t="str">
        <x:v>=FC01+FLD-S100</x:v>
      </x:c>
      <x:c r="E14" s="6" t="str">
        <x:v>Industrial control</x:v>
      </x:c>
      <x:c r="F14" s="6" t="str">
        <x:v>4</x:v>
      </x:c>
      <x:c r="G14" s="6" t="str">
        <x:v>3</x:v>
      </x:c>
      <x:c r="H14" s="6" t="str">
        <x:v>1</x:v>
      </x:c>
      <x:c r="I14" s="6" t="str">
        <x:v>1-3</x:v>
      </x:c>
      <x:c r="J14" s="6" t="str">
        <x:v>None scheduled</x:v>
      </x:c>
      <x:c r="K14" s="6" t="str">
        <x:v>24 VDC control</x:v>
      </x:c>
      <x:c r="L14" s="6" t="str">
        <x:v>Length, conductor size, installation method and final cable family open</x:v>
      </x:c>
    </x:row>
    <x:row r="15" ht="27" customHeight="1">
      <x:c r="A15" s="6" t="str">
        <x:v>C014</x:v>
      </x:c>
      <x:c r="B15" s="6" t="str">
        <x:v>=FC01+CP01 panel terminals</x:v>
      </x:c>
      <x:c r="C15" s="6" t="str">
        <x:v>-S101</x:v>
      </x:c>
      <x:c r="D15" s="6" t="str">
        <x:v>=FC01+FLD-S101</x:v>
      </x:c>
      <x:c r="E15" s="6" t="str">
        <x:v>Industrial control</x:v>
      </x:c>
      <x:c r="F15" s="6" t="str">
        <x:v>4</x:v>
      </x:c>
      <x:c r="G15" s="6" t="str">
        <x:v>3</x:v>
      </x:c>
      <x:c r="H15" s="6" t="str">
        <x:v>1</x:v>
      </x:c>
      <x:c r="I15" s="6" t="str">
        <x:v>1-3</x:v>
      </x:c>
      <x:c r="J15" s="6" t="str">
        <x:v>None scheduled</x:v>
      </x:c>
      <x:c r="K15" s="6" t="str">
        <x:v>24 VDC control</x:v>
      </x:c>
      <x:c r="L15" s="6" t="str">
        <x:v>Length, conductor size, installation method and final cable family open</x:v>
      </x:c>
    </x:row>
    <x:row r="16" ht="27" customHeight="1">
      <x:c r="A16" s="6" t="str">
        <x:v>C015</x:v>
      </x:c>
      <x:c r="B16" s="6" t="str">
        <x:v>=FC01+CP01 panel terminals</x:v>
      </x:c>
      <x:c r="C16" s="6" t="str">
        <x:v>-YV102</x:v>
      </x:c>
      <x:c r="D16" s="6" t="str">
        <x:v>=FC01+FLD-YV102</x:v>
      </x:c>
      <x:c r="E16" s="6" t="str">
        <x:v>Industrial control</x:v>
      </x:c>
      <x:c r="F16" s="6" t="str">
        <x:v>4</x:v>
      </x:c>
      <x:c r="G16" s="6" t="str">
        <x:v>2</x:v>
      </x:c>
      <x:c r="H16" s="6" t="str">
        <x:v>2</x:v>
      </x:c>
      <x:c r="I16" s="6" t="str">
        <x:v>1-2</x:v>
      </x:c>
      <x:c r="J16" s="6" t="str">
        <x:v>None scheduled</x:v>
      </x:c>
      <x:c r="K16" s="6" t="str">
        <x:v>24 VDC control</x:v>
      </x:c>
      <x:c r="L16" s="6" t="str">
        <x:v>Length, conductor size, installation method and final cable family open</x:v>
      </x:c>
    </x:row>
    <x:row r="17" ht="27" customHeight="1">
      <x:c r="A17" s="6" t="str">
        <x:v>C016</x:v>
      </x:c>
      <x:c r="B17" s="6" t="str">
        <x:v>=FC01+CP01 panel terminals</x:v>
      </x:c>
      <x:c r="C17" s="6" t="str">
        <x:v>-YV103</x:v>
      </x:c>
      <x:c r="D17" s="6" t="str">
        <x:v>=FC01+FLD-YV103</x:v>
      </x:c>
      <x:c r="E17" s="6" t="str">
        <x:v>Industrial control</x:v>
      </x:c>
      <x:c r="F17" s="6" t="str">
        <x:v>4</x:v>
      </x:c>
      <x:c r="G17" s="6" t="str">
        <x:v>2</x:v>
      </x:c>
      <x:c r="H17" s="6" t="str">
        <x:v>2</x:v>
      </x:c>
      <x:c r="I17" s="6" t="str">
        <x:v>1-2</x:v>
      </x:c>
      <x:c r="J17" s="6" t="str">
        <x:v>None scheduled</x:v>
      </x:c>
      <x:c r="K17" s="6" t="str">
        <x:v>24 VDC control</x:v>
      </x:c>
      <x:c r="L17" s="6" t="str">
        <x:v>Length, conductor size, installation method and final cable family open</x:v>
      </x:c>
    </x:row>
    <x:row r="18" ht="27" customHeight="1">
      <x:c r="A18" s="6" t="str">
        <x:v>C017</x:v>
      </x:c>
      <x:c r="B18" s="6" t="str">
        <x:v>=FC01+CP01 panel terminals</x:v>
      </x:c>
      <x:c r="C18" s="6" t="str">
        <x:v>-YV100</x:v>
      </x:c>
      <x:c r="D18" s="6" t="str">
        <x:v>=FC01+FLD-YV100</x:v>
      </x:c>
      <x:c r="E18" s="6" t="str">
        <x:v>Industrial control</x:v>
      </x:c>
      <x:c r="F18" s="6" t="str">
        <x:v>8</x:v>
      </x:c>
      <x:c r="G18" s="6" t="str">
        <x:v>4</x:v>
      </x:c>
      <x:c r="H18" s="6" t="str">
        <x:v>4</x:v>
      </x:c>
      <x:c r="I18" s="6" t="str">
        <x:v>1-4</x:v>
      </x:c>
      <x:c r="J18" s="6" t="str">
        <x:v>None scheduled</x:v>
      </x:c>
      <x:c r="K18" s="6" t="str">
        <x:v>24 VDC control</x:v>
      </x:c>
      <x:c r="L18" s="6" t="str">
        <x:v>Length, conductor size, installation method and final cable family open</x:v>
      </x:c>
    </x:row>
    <x:row r="19" ht="27" customHeight="1">
      <x:c r="A19" s="6" t="str">
        <x:v>C018</x:v>
      </x:c>
      <x:c r="B19" s="6" t="str">
        <x:v>=FC01+CP01 panel terminals</x:v>
      </x:c>
      <x:c r="C19" s="6" t="str">
        <x:v>-YV101</x:v>
      </x:c>
      <x:c r="D19" s="6" t="str">
        <x:v>=FC01+FLD-YV101</x:v>
      </x:c>
      <x:c r="E19" s="6" t="str">
        <x:v>Industrial control</x:v>
      </x:c>
      <x:c r="F19" s="6" t="str">
        <x:v>8</x:v>
      </x:c>
      <x:c r="G19" s="6" t="str">
        <x:v>4</x:v>
      </x:c>
      <x:c r="H19" s="6" t="str">
        <x:v>4</x:v>
      </x:c>
      <x:c r="I19" s="6" t="str">
        <x:v>1-4</x:v>
      </x:c>
      <x:c r="J19" s="6" t="str">
        <x:v>None scheduled</x:v>
      </x:c>
      <x:c r="K19" s="6" t="str">
        <x:v>24 VDC control</x:v>
      </x:c>
      <x:c r="L19" s="6" t="str">
        <x:v>Length, conductor size, installation method and final cable family open</x:v>
      </x:c>
    </x:row>
    <x:row r="20" ht="27" customHeight="1">
      <x:c r="A20" s="6" t="str">
        <x:v>C019</x:v>
      </x:c>
      <x:c r="B20" s="6" t="str">
        <x:v>=FC01+CP01 panel terminals</x:v>
      </x:c>
      <x:c r="C20" s="6" t="str">
        <x:v>-H101</x:v>
      </x:c>
      <x:c r="D20" s="6" t="str">
        <x:v>=FC01+FLD-H101</x:v>
      </x:c>
      <x:c r="E20" s="6" t="str">
        <x:v>Industrial control</x:v>
      </x:c>
      <x:c r="F20" s="6" t="str">
        <x:v>12</x:v>
      </x:c>
      <x:c r="G20" s="6" t="str">
        <x:v>8</x:v>
      </x:c>
      <x:c r="H20" s="6" t="str">
        <x:v>4</x:v>
      </x:c>
      <x:c r="I20" s="6" t="str">
        <x:v>1-8</x:v>
      </x:c>
      <x:c r="J20" s="6" t="str">
        <x:v>None scheduled</x:v>
      </x:c>
      <x:c r="K20" s="6" t="str">
        <x:v>24 VDC control</x:v>
      </x:c>
      <x:c r="L20" s="6" t="str">
        <x:v>Length, conductor size, installation method and final cable family open</x:v>
      </x:c>
    </x:row>
    <x:row r="21" ht="27" customHeight="1">
      <x:c r="A21" s="6" t="str">
        <x:v>C020</x:v>
      </x:c>
      <x:c r="B21" s="6" t="str">
        <x:v>=FC01+CP01 panel terminals</x:v>
      </x:c>
      <x:c r="C21" s="6" t="str">
        <x:v>-LT200</x:v>
      </x:c>
      <x:c r="D21" s="6" t="str">
        <x:v>=FC01+FLD-LT200</x:v>
      </x:c>
      <x:c r="E21" s="6" t="str">
        <x:v>Industrial control</x:v>
      </x:c>
      <x:c r="F21" s="6" t="str">
        <x:v>4</x:v>
      </x:c>
      <x:c r="G21" s="6" t="str">
        <x:v>2</x:v>
      </x:c>
      <x:c r="H21" s="6" t="str">
        <x:v>2</x:v>
      </x:c>
      <x:c r="I21" s="6" t="str">
        <x:v>1-2</x:v>
      </x:c>
      <x:c r="J21" s="6" t="str">
        <x:v>None scheduled</x:v>
      </x:c>
      <x:c r="K21" s="6" t="str">
        <x:v>24 VDC control</x:v>
      </x:c>
      <x:c r="L21" s="6" t="str">
        <x:v>Length, conductor size, installation method and final cable family open</x:v>
      </x:c>
    </x:row>
    <x:row r="22" ht="27" customHeight="1">
      <x:c r="A22" s="6" t="str">
        <x:v>C021</x:v>
      </x:c>
      <x:c r="B22" s="6" t="str">
        <x:v>=FC01+CP01 panel terminals</x:v>
      </x:c>
      <x:c r="C22" s="6" t="str">
        <x:v>-FT100</x:v>
      </x:c>
      <x:c r="D22" s="6" t="str">
        <x:v>=FC01+FLD-FT100</x:v>
      </x:c>
      <x:c r="E22" s="6" t="str">
        <x:v>Shielded instrumentation</x:v>
      </x:c>
      <x:c r="F22" s="6" t="str">
        <x:v>8</x:v>
      </x:c>
      <x:c r="G22" s="6" t="str">
        <x:v>5</x:v>
      </x:c>
      <x:c r="H22" s="6" t="str">
        <x:v>3</x:v>
      </x:c>
      <x:c r="I22" s="6" t="str">
        <x:v>1-5</x:v>
      </x:c>
      <x:c r="J22" s="6" t="str">
        <x:v>Separate overall shield/drain to SC100; not counted as an insulated core</x:v>
      </x:c>
      <x:c r="K22" s="6" t="str">
        <x:v>Analog/instrument</x:v>
      </x:c>
      <x:c r="L22" s="6" t="str">
        <x:v>Length, conductor size, installation method and final cable family open</x:v>
      </x:c>
    </x:row>
    <x:row r="23" ht="27" customHeight="1">
      <x:c r="A23" s="6" t="str">
        <x:v>C022</x:v>
      </x:c>
      <x:c r="B23" s="6" t="str">
        <x:v>=FC01+CP01 panel terminals</x:v>
      </x:c>
      <x:c r="C23" s="6" t="str">
        <x:v>-FT101</x:v>
      </x:c>
      <x:c r="D23" s="6" t="str">
        <x:v>=FC01+FLD-FT101</x:v>
      </x:c>
      <x:c r="E23" s="6" t="str">
        <x:v>Shielded instrumentation</x:v>
      </x:c>
      <x:c r="F23" s="6" t="str">
        <x:v>8</x:v>
      </x:c>
      <x:c r="G23" s="6" t="str">
        <x:v>5</x:v>
      </x:c>
      <x:c r="H23" s="6" t="str">
        <x:v>3</x:v>
      </x:c>
      <x:c r="I23" s="6" t="str">
        <x:v>1-5</x:v>
      </x:c>
      <x:c r="J23" s="6" t="str">
        <x:v>Separate overall shield/drain to SC100; not counted as an insulated core</x:v>
      </x:c>
      <x:c r="K23" s="6" t="str">
        <x:v>Analog/instrument</x:v>
      </x:c>
      <x:c r="L23" s="6" t="str">
        <x:v>Length, conductor size, installation method and final cable family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33.75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22.5" hidden="0" customWidth="1"/>
    <x:col min="8" max="8" width="19.3799991607666" hidden="0" customWidth="1"/>
    <x:col min="9" max="9" width="33.75" hidden="0" customWidth="1"/>
    <x:col min="10" max="10" width="19.3799991607666" hidden="0" customWidth="1"/>
  </x:cols>
  <x:sheetData>
    <x:row r="1" ht="31.5" customHeight="1">
      <x:c r="A1" s="12" t="str">
        <x:v>item</x:v>
      </x:c>
      <x:c r="B1" s="12" t="str">
        <x:v>tag</x:v>
      </x:c>
      <x:c r="C1" s="12" t="str">
        <x:v>description</x:v>
      </x:c>
      <x:c r="D1" s="12" t="str">
        <x:v>manufacturer</x:v>
      </x:c>
      <x:c r="E1" s="12" t="str">
        <x:v>order_no</x:v>
      </x:c>
      <x:c r="F1" s="12" t="str">
        <x:v>qty</x:v>
      </x:c>
      <x:c r="G1" s="12" t="str">
        <x:v>selection_status</x:v>
      </x:c>
      <x:c r="H1" s="12" t="str">
        <x:v>scope</x:v>
      </x:c>
      <x:c r="I1" s="12" t="str">
        <x:v>basis_or_blocker</x:v>
      </x:c>
      <x:c r="J1" s="12" t="str">
        <x:v>full_designation</x:v>
      </x:c>
    </x:row>
    <x:row r="2" ht="54" customHeight="1">
      <x:c r="A2" s="6" t="str">
        <x:v>BOM-001</x:v>
      </x:c>
      <x:c r="B2" s="6" t="str">
        <x:v>-A100</x:v>
      </x:c>
      <x:c r="C2" s="6" t="str">
        <x:v>SIMATIC S7-1500 CPU 1511-1 PN</x:v>
      </x:c>
      <x:c r="D2" s="6" t="str">
        <x:v>Siemens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Panel/field hardware</x:v>
      </x:c>
      <x:c r="I2" s="6" t="str">
        <x:v>Native catalog/configuration and delivered hardware state not yet verified</x:v>
      </x:c>
      <x:c r="J2" s="6" t="str">
        <x:v>=FC01+CP01-A100</x:v>
      </x:c>
    </x:row>
    <x:row r="3" ht="54" customHeight="1">
      <x:c r="A3" s="6" t="str">
        <x:v>BOM-002</x:v>
      </x:c>
      <x:c r="B3" s="6" t="str">
        <x:v>-A101</x:v>
      </x:c>
      <x:c r="C3" s="6" t="str">
        <x:v>TM Count 2x24V</x:v>
      </x:c>
      <x:c r="D3" s="6" t="str">
        <x:v>Siemens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Panel/field hardware</x:v>
      </x:c>
      <x:c r="I3" s="6" t="str">
        <x:v>Two channels selected; TO configuration and K-factor inputs open</x:v>
      </x:c>
      <x:c r="J3" s="6" t="str">
        <x:v>=FC01+CP01-A101</x:v>
      </x:c>
    </x:row>
    <x:row r="4" ht="54" customHeight="1">
      <x:c r="A4" s="6" t="str">
        <x:v>BOM-003</x:v>
      </x:c>
      <x:c r="B4" s="6" t="str">
        <x:v>-A102</x:v>
      </x:c>
      <x:c r="C4" s="6" t="str">
        <x:v>DI 32x24V DC HF</x:v>
      </x:c>
      <x:c r="D4" s="6" t="str">
        <x:v>Siemens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Panel/field hardware</x:v>
      </x:c>
      <x:c r="I4" s="6" t="str">
        <x:v>Front connector and channel parameters included separately</x:v>
      </x:c>
      <x:c r="J4" s="6" t="str">
        <x:v>=FC01+CP01-A102</x:v>
      </x:c>
    </x:row>
    <x:row r="5" ht="54" customHeight="1">
      <x:c r="A5" s="6" t="str">
        <x:v>BOM-004</x:v>
      </x:c>
      <x:c r="B5" s="6" t="str">
        <x:v>-A103</x:v>
      </x:c>
      <x:c r="C5" s="6" t="str">
        <x:v>DQ 32x24V DC/0.5A HF</x:v>
      </x:c>
      <x:c r="D5" s="6" t="str">
        <x:v>Siemens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Panel/field hardware</x:v>
      </x:c>
      <x:c r="I5" s="6" t="str">
        <x:v>Field loads use interposing relays</x:v>
      </x:c>
      <x:c r="J5" s="6" t="str">
        <x:v>=FC01+CP01-A103</x:v>
      </x:c>
    </x:row>
    <x:row r="6" ht="54" customHeight="1">
      <x:c r="A6" s="6" t="str">
        <x:v>BOM-005</x:v>
      </x:c>
      <x:c r="B6" s="6" t="str">
        <x:v>-A104</x:v>
      </x:c>
      <x:c r="C6" s="6" t="str">
        <x:v>AI 8xU/I HF</x:v>
      </x:c>
      <x:c r="D6" s="6" t="str">
        <x:v>Siemens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Panel/field hardware</x:v>
      </x:c>
      <x:c r="I6" s="6" t="str">
        <x:v>4-20 mA channel diagnostics require native parameterization</x:v>
      </x:c>
      <x:c r="J6" s="6" t="str">
        <x:v>=FC01+CP01-A104</x:v>
      </x:c>
    </x:row>
    <x:row r="7" ht="54" customHeight="1">
      <x:c r="A7" s="6" t="str">
        <x:v>BOM-006</x:v>
      </x:c>
      <x:c r="B7" s="6" t="str">
        <x:v>-H100</x:v>
      </x:c>
      <x:c r="C7" s="6" t="str">
        <x:v>MTP700 Unified Comfort</x:v>
      </x:c>
      <x:c r="D7" s="6" t="str">
        <x:v>Siemens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Panel/field hardware</x:v>
      </x:c>
      <x:c r="I7" s="6" t="str">
        <x:v>Door cutout 198.3 x 142 mm; native HMI project/compile open</x:v>
      </x:c>
      <x:c r="J7" s="6" t="str">
        <x:v>=FC01+CP01-H100</x:v>
      </x:c>
    </x:row>
    <x:row r="8" ht="54" customHeight="1">
      <x:c r="A8" s="6" t="str">
        <x:v>BOM-007</x:v>
      </x:c>
      <x:c r="B8" s="6" t="str">
        <x:v>-U100</x:v>
      </x:c>
      <x:c r="C8" s="6" t="str">
        <x:v>SINAMICS G120C PN 0.75 kW unfiltered</x:v>
      </x:c>
      <x:c r="D8" s="6" t="str">
        <x:v>Siemens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Panel/field hardware</x:v>
      </x:c>
      <x:c r="I8" s="6" t="str">
        <x:v>Rating, envelope and clearances blocked by motor/mechanics and native Startdrive</x:v>
      </x:c>
      <x:c r="J8" s="6" t="str">
        <x:v>=FC01+CP01-U100</x:v>
      </x:c>
    </x:row>
    <x:row r="9" ht="54" customHeight="1">
      <x:c r="A9" s="6" t="str">
        <x:v>BOM-008</x:v>
      </x:c>
      <x:c r="B9" s="6" t="str">
        <x:v>-U101</x:v>
      </x:c>
      <x:c r="C9" s="6" t="str">
        <x:v>SINAMICS G120C PN 0.75 kW unfiltered</x:v>
      </x:c>
      <x:c r="D9" s="6" t="str">
        <x:v>Siemens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Panel/field hardware</x:v>
      </x:c>
      <x:c r="I9" s="6" t="str">
        <x:v>Rating, envelope and clearances blocked by pump curve and motor data</x:v>
      </x:c>
      <x:c r="J9" s="6" t="str">
        <x:v>=FC01+CP01-U101</x:v>
      </x:c>
    </x:row>
    <x:row r="10" ht="54" customHeight="1">
      <x:c r="A10" s="6" t="str">
        <x:v>BOM-009</x:v>
      </x:c>
      <x:c r="B10" s="6" t="str">
        <x:v>-SW100</x:v>
      </x:c>
      <x:c r="C10" s="6" t="str">
        <x:v>SCALANCE XC208 managed</x:v>
      </x:c>
      <x:c r="D10" s="6" t="str">
        <x:v>Siemens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Panel/field hardware</x:v>
      </x:c>
      <x:c r="I10" s="6" t="str">
        <x:v>VLAN-capable Layer 2 switch; firewall/router required for inter-zone traffic</x:v>
      </x:c>
      <x:c r="J10" s="6" t="str">
        <x:v>=FC01+CP01-SW100</x:v>
      </x:c>
    </x:row>
    <x:row r="11" ht="54" customHeight="1">
      <x:c r="A11" s="6" t="str">
        <x:v>BOM-010</x:v>
      </x:c>
      <x:c r="B11" s="6" t="str">
        <x:v>-FW100</x:v>
      </x:c>
      <x:c r="C11" s="6" t="str">
        <x:v>SCALANCE S615 EEC</x:v>
      </x:c>
      <x:c r="D11" s="6" t="str">
        <x:v>Siemens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Panel/field hardware</x:v>
      </x:c>
      <x:c r="I11" s="6" t="str">
        <x:v>Exact width and site policy remain procurement/native gates</x:v>
      </x:c>
      <x:c r="J11" s="6" t="str">
        <x:v>=FC01+CP01-FW100</x:v>
      </x:c>
    </x:row>
    <x:row r="12" ht="54" customHeight="1">
      <x:c r="A12" s="6" t="str">
        <x:v>BOM-011</x:v>
      </x:c>
      <x:c r="B12" s="6" t="str">
        <x:v>-PC200</x:v>
      </x:c>
      <x:c r="C12" s="6" t="str">
        <x:v>Jetson Orin NX 16GB on industrial carrier</x:v>
      </x:c>
      <x:c r="D12" s="6" t="str">
        <x:v>NVIDIA</x:v>
      </x:c>
      <x:c r="E12" s="6" t="str"/>
      <x:c r="F12" s="6" t="str">
        <x:v>1</x:v>
      </x:c>
      <x:c r="G12" s="6" t="str">
        <x:v>Architecture only</x:v>
      </x:c>
      <x:c r="H12" s="6" t="str">
        <x:v>Panel/field hardware</x:v>
      </x:c>
      <x:c r="I12" s="6" t="str">
        <x:v>Carrier, thermals, power, EMC and lifecycle are open</x:v>
      </x:c>
      <x:c r="J12" s="6" t="str">
        <x:v>=FC01+CP01-PC200</x:v>
      </x:c>
    </x:row>
    <x:row r="13" ht="54" customHeight="1">
      <x:c r="A13" s="6" t="str">
        <x:v>BOM-012</x:v>
      </x:c>
      <x:c r="B13" s="6" t="str">
        <x:v>-MC100</x:v>
      </x:c>
      <x:c r="C13" s="6" t="str">
        <x:v>SIMATIC memory card; capacity to be selected after compiled project sizing</x:v>
      </x:c>
      <x:c r="D13" s="6" t="str">
        <x:v>Siemens</x:v>
      </x:c>
      <x:c r="E13" s="6" t="str"/>
      <x:c r="F13" s="6" t="str">
        <x:v>1</x:v>
      </x:c>
      <x:c r="G13" s="6" t="str">
        <x:v>TBD</x:v>
      </x:c>
      <x:c r="H13" s="6" t="str">
        <x:v>Panel</x:v>
      </x:c>
      <x:c r="I13" s="6" t="str">
        <x:v>Native compiled project size unavailable</x:v>
      </x:c>
      <x:c r="J13" s="6" t="str">
        <x:v>=FC01+CP01-MC100</x:v>
      </x:c>
    </x:row>
    <x:row r="14" ht="54" customHeight="1">
      <x:c r="A14" s="6" t="str">
        <x:v>BOM-013</x:v>
      </x:c>
      <x:c r="B14" s="6" t="str">
        <x:v>-RA100</x:v>
      </x:c>
      <x:c r="C14" s="6" t="str">
        <x:v>S7-1500 mounting rail and fixing hardware</x:v>
      </x:c>
      <x:c r="D14" s="6" t="str">
        <x:v>Siemens</x:v>
      </x:c>
      <x:c r="E14" s="6" t="str"/>
      <x:c r="F14" s="6" t="str">
        <x:v>1</x:v>
      </x:c>
      <x:c r="G14" s="6" t="str">
        <x:v>TBD</x:v>
      </x:c>
      <x:c r="H14" s="6" t="str">
        <x:v>Panel</x:v>
      </x:c>
      <x:c r="I14" s="6" t="str">
        <x:v>Rail length depends on final cabinet layout</x:v>
      </x:c>
      <x:c r="J14" s="6" t="str">
        <x:v>=FC01+CP01-RA100</x:v>
      </x:c>
    </x:row>
    <x:row r="15" ht="54" customHeight="1">
      <x:c r="A15" s="6" t="str">
        <x:v>BOM-014</x:v>
      </x:c>
      <x:c r="B15" s="6" t="str">
        <x:v>-FC100</x:v>
      </x:c>
      <x:c r="C15" s="6" t="str">
        <x:v>Front connector for DI module</x:v>
      </x:c>
      <x:c r="D15" s="6" t="str">
        <x:v>Siemens</x:v>
      </x:c>
      <x:c r="E15" s="6" t="str"/>
      <x:c r="F15" s="6" t="str">
        <x:v>1</x:v>
      </x:c>
      <x:c r="G15" s="6" t="str">
        <x:v>TBD</x:v>
      </x:c>
      <x:c r="H15" s="6" t="str">
        <x:v>Panel</x:v>
      </x:c>
      <x:c r="I15" s="6" t="str">
        <x:v>Exact accessory to be confirmed in TIA Selection Tool</x:v>
      </x:c>
      <x:c r="J15" s="6" t="str">
        <x:v>=FC01+CP01-FC100</x:v>
      </x:c>
    </x:row>
    <x:row r="16" ht="54" customHeight="1">
      <x:c r="A16" s="6" t="str">
        <x:v>BOM-015</x:v>
      </x:c>
      <x:c r="B16" s="6" t="str">
        <x:v>-FC101</x:v>
      </x:c>
      <x:c r="C16" s="6" t="str">
        <x:v>Front connector for DQ module</x:v>
      </x:c>
      <x:c r="D16" s="6" t="str">
        <x:v>Siemens</x:v>
      </x:c>
      <x:c r="E16" s="6" t="str"/>
      <x:c r="F16" s="6" t="str">
        <x:v>1</x:v>
      </x:c>
      <x:c r="G16" s="6" t="str">
        <x:v>TBD</x:v>
      </x:c>
      <x:c r="H16" s="6" t="str">
        <x:v>Panel</x:v>
      </x:c>
      <x:c r="I16" s="6" t="str">
        <x:v>Exact accessory to be confirmed in TIA Selection Tool</x:v>
      </x:c>
      <x:c r="J16" s="6" t="str">
        <x:v>=FC01+CP01-FC101</x:v>
      </x:c>
    </x:row>
    <x:row r="17" ht="54" customHeight="1">
      <x:c r="A17" s="6" t="str">
        <x:v>BOM-016</x:v>
      </x:c>
      <x:c r="B17" s="6" t="str">
        <x:v>-FC102</x:v>
      </x:c>
      <x:c r="C17" s="6" t="str">
        <x:v>Front connector for AI module</x:v>
      </x:c>
      <x:c r="D17" s="6" t="str">
        <x:v>Siemens</x:v>
      </x:c>
      <x:c r="E17" s="6" t="str"/>
      <x:c r="F17" s="6" t="str">
        <x:v>1</x:v>
      </x:c>
      <x:c r="G17" s="6" t="str">
        <x:v>TBD</x:v>
      </x:c>
      <x:c r="H17" s="6" t="str">
        <x:v>Panel</x:v>
      </x:c>
      <x:c r="I17" s="6" t="str">
        <x:v>Exact accessory to be confirmed in TIA Selection Tool</x:v>
      </x:c>
      <x:c r="J17" s="6" t="str">
        <x:v>=FC01+CP01-FC102</x:v>
      </x:c>
    </x:row>
    <x:row r="18" ht="54" customHeight="1">
      <x:c r="A18" s="6" t="str">
        <x:v>BOM-017</x:v>
      </x:c>
      <x:c r="B18" s="6" t="str">
        <x:v>-FC103</x:v>
      </x:c>
      <x:c r="C18" s="6" t="str">
        <x:v>Front connector for TM Count module</x:v>
      </x:c>
      <x:c r="D18" s="6" t="str">
        <x:v>Siemens</x:v>
      </x:c>
      <x:c r="E18" s="6" t="str"/>
      <x:c r="F18" s="6" t="str">
        <x:v>1</x:v>
      </x:c>
      <x:c r="G18" s="6" t="str">
        <x:v>TBD</x:v>
      </x:c>
      <x:c r="H18" s="6" t="str">
        <x:v>Panel</x:v>
      </x:c>
      <x:c r="I18" s="6" t="str">
        <x:v>Exact accessory to be confirmed in TIA Selection Tool</x:v>
      </x:c>
      <x:c r="J18" s="6" t="str">
        <x:v>=FC01+CP01-FC103</x:v>
      </x:c>
    </x:row>
    <x:row r="19" ht="54" customHeight="1">
      <x:c r="A19" s="6" t="str">
        <x:v>BOM-018</x:v>
      </x:c>
      <x:c r="B19" s="6" t="str">
        <x:v>-QS100</x:v>
      </x:c>
      <x:c r="C19" s="6" t="str">
        <x:v>Main door-coupled isolator</x:v>
      </x:c>
      <x:c r="D19" s="6" t="str"/>
      <x:c r="E19" s="6" t="str"/>
      <x:c r="F19" s="6" t="str">
        <x:v>1</x:v>
      </x:c>
      <x:c r="G19" s="6" t="str">
        <x:v>TBD</x:v>
      </x:c>
      <x:c r="H19" s="6" t="str">
        <x:v>Panel</x:v>
      </x:c>
      <x:c r="I19" s="6" t="str">
        <x:v>Supply, fault current and regulatory basis missing</x:v>
      </x:c>
      <x:c r="J19" s="6" t="str">
        <x:v>=FC01+CP01-QS100</x:v>
      </x:c>
    </x:row>
    <x:row r="20" ht="54" customHeight="1">
      <x:c r="A20" s="6" t="str">
        <x:v>BOM-019</x:v>
      </x:c>
      <x:c r="B20" s="6" t="str">
        <x:v>-QF100</x:v>
      </x:c>
      <x:c r="C20" s="6" t="str">
        <x:v>Main protective device</x:v>
      </x:c>
      <x:c r="D20" s="6" t="str"/>
      <x:c r="E20" s="6" t="str"/>
      <x:c r="F20" s="6" t="str">
        <x:v>1</x:v>
      </x:c>
      <x:c r="G20" s="6" t="str">
        <x:v>TBD</x:v>
      </x:c>
      <x:c r="H20" s="6" t="str">
        <x:v>Panel</x:v>
      </x:c>
      <x:c r="I20" s="6" t="str">
        <x:v>Fault level, load and selectivity study missing</x:v>
      </x:c>
      <x:c r="J20" s="6" t="str">
        <x:v>=FC01+CP01-QF100</x:v>
      </x:c>
    </x:row>
    <x:row r="21" ht="54" customHeight="1">
      <x:c r="A21" s="6" t="str">
        <x:v>BOM-020</x:v>
      </x:c>
      <x:c r="B21" s="6" t="str">
        <x:v>-PS100</x:v>
      </x:c>
      <x:c r="C21" s="6" t="str">
        <x:v>24 VDC 20 A power supply</x:v>
      </x:c>
      <x:c r="D21" s="6" t="str"/>
      <x:c r="E21" s="6" t="str"/>
      <x:c r="F21" s="6" t="str">
        <x:v>1</x:v>
      </x:c>
      <x:c r="G21" s="6" t="str">
        <x:v>Provisional</x:v>
      </x:c>
      <x:c r="H21" s="6" t="str">
        <x:v>Panel</x:v>
      </x:c>
      <x:c r="I21" s="6" t="str">
        <x:v>Demand estimate includes margin; inrush and derating open</x:v>
      </x:c>
      <x:c r="J21" s="6" t="str">
        <x:v>=FC01+CP01-PS100</x:v>
      </x:c>
    </x:row>
    <x:row r="22" ht="54" customHeight="1">
      <x:c r="A22" s="6" t="str">
        <x:v>BOM-021</x:v>
      </x:c>
      <x:c r="B22" s="6" t="str">
        <x:v>-QF110</x:v>
      </x:c>
      <x:c r="C22" s="6" t="str">
        <x:v>24 VDC electronic branch protection</x:v>
      </x:c>
      <x:c r="D22" s="6" t="str"/>
      <x:c r="E22" s="6" t="str"/>
      <x:c r="F22" s="6" t="str">
        <x:v>1</x:v>
      </x:c>
      <x:c r="G22" s="6" t="str">
        <x:v>TBD</x:v>
      </x:c>
      <x:c r="H22" s="6" t="str">
        <x:v>Panel</x:v>
      </x:c>
      <x:c r="I22" s="6" t="str">
        <x:v>Branch currents and discrimination require device data</x:v>
      </x:c>
      <x:c r="J22" s="6" t="str">
        <x:v>=FC01+CP01-QF110</x:v>
      </x:c>
    </x:row>
    <x:row r="23" ht="54" customHeight="1">
      <x:c r="A23" s="6" t="str">
        <x:v>BOM-022</x:v>
      </x:c>
      <x:c r="B23" s="6" t="str">
        <x:v>-K100</x:v>
      </x:c>
      <x:c r="C23" s="6" t="str">
        <x:v>Main control enable contactor / external safety interface with dry monitoring contact</x:v>
      </x:c>
      <x:c r="D23" s="6" t="str"/>
      <x:c r="E23" s="6" t="str"/>
      <x:c r="F23" s="6" t="str">
        <x:v>1</x:v>
      </x:c>
      <x:c r="G23" s="6" t="str">
        <x:v>TBD</x:v>
      </x:c>
      <x:c r="H23" s="6" t="str">
        <x:v>Panel</x:v>
      </x:c>
      <x:c r="I23" s="6" t="str">
        <x:v>Qualified safety design external</x:v>
      </x:c>
      <x:c r="J23" s="6" t="str">
        <x:v>=FC01+CP01-K100</x:v>
      </x:c>
    </x:row>
    <x:row r="24" ht="54" customHeight="1">
      <x:c r="A24" s="6" t="str">
        <x:v>BOM-023</x:v>
      </x:c>
      <x:c r="B24" s="6" t="str">
        <x:v>-K202..-K213</x:v>
      </x:c>
      <x:c r="C24" s="6" t="str">
        <x:v>Interposing relays with bases and status indication</x:v>
      </x:c>
      <x:c r="D24" s="6" t="str"/>
      <x:c r="E24" s="6" t="str"/>
      <x:c r="F24" s="6" t="str">
        <x:v>12</x:v>
      </x:c>
      <x:c r="G24" s="6" t="str">
        <x:v>TBD</x:v>
      </x:c>
      <x:c r="H24" s="6" t="str">
        <x:v>Panel</x:v>
      </x:c>
      <x:c r="I24" s="6" t="str">
        <x:v>Twelve active output relays; coil/contact/load ratings and approved supplier missing</x:v>
      </x:c>
      <x:c r="J24" s="6" t="str">
        <x:v>=FC01+CP01-K202..-K213</x:v>
      </x:c>
    </x:row>
    <x:row r="25" ht="54" customHeight="1">
      <x:c r="A25" s="6" t="str">
        <x:v>BOM-024</x:v>
      </x:c>
      <x:c r="B25" s="6" t="str">
        <x:v>-D202..-D213</x:v>
      </x:c>
      <x:c r="C25" s="6" t="str">
        <x:v>Coil suppression modules</x:v>
      </x:c>
      <x:c r="D25" s="6" t="str"/>
      <x:c r="E25" s="6" t="str"/>
      <x:c r="F25" s="6" t="str">
        <x:v>12</x:v>
      </x:c>
      <x:c r="G25" s="6" t="str">
        <x:v>TBD</x:v>
      </x:c>
      <x:c r="H25" s="6" t="str">
        <x:v>Panel</x:v>
      </x:c>
      <x:c r="I25" s="6" t="str">
        <x:v>One device per active relay; match relay coil technology</x:v>
      </x:c>
      <x:c r="J25" s="6" t="str">
        <x:v>=FC01+CP01-D202..-D213</x:v>
      </x:c>
    </x:row>
    <x:row r="26" ht="54" customHeight="1">
      <x:c r="A26" s="6" t="str">
        <x:v>BOM-025</x:v>
      </x:c>
      <x:c r="B26" s="6" t="str">
        <x:v>-X100..-X199</x:v>
      </x:c>
      <x:c r="C26" s="6" t="str">
        <x:v>DIN-rail terminal blocks, disconnect/test where required</x:v>
      </x:c>
      <x:c r="D26" s="6" t="str"/>
      <x:c r="E26" s="6" t="str"/>
      <x:c r="F26" s="6" t="str">
        <x:v>160</x:v>
      </x:c>
      <x:c r="G26" s="6" t="str">
        <x:v>Provisional quantity</x:v>
      </x:c>
      <x:c r="H26" s="6" t="str">
        <x:v>Panel</x:v>
      </x:c>
      <x:c r="I26" s="6" t="str">
        <x:v>Final QET continuity and terminal-family selection open</x:v>
      </x:c>
      <x:c r="J26" s="6" t="str">
        <x:v>=FC01+CP01-X100..-X199</x:v>
      </x:c>
    </x:row>
    <x:row r="27" ht="54" customHeight="1">
      <x:c r="A27" s="6" t="str">
        <x:v>BOM-026</x:v>
      </x:c>
      <x:c r="B27" s="6" t="str">
        <x:v>-PE100</x:v>
      </x:c>
      <x:c r="C27" s="6" t="str">
        <x:v>Copper protective-earth bar and bonding hardware</x:v>
      </x:c>
      <x:c r="D27" s="6" t="str"/>
      <x:c r="E27" s="6" t="str"/>
      <x:c r="F27" s="6" t="str">
        <x:v>1</x:v>
      </x:c>
      <x:c r="G27" s="6" t="str">
        <x:v>TBD</x:v>
      </x:c>
      <x:c r="H27" s="6" t="str">
        <x:v>Panel</x:v>
      </x:c>
      <x:c r="I27" s="6" t="str">
        <x:v>PE sizing requires supply/earthing inputs</x:v>
      </x:c>
      <x:c r="J27" s="6" t="str">
        <x:v>=FC01+CP01-PE100</x:v>
      </x:c>
    </x:row>
    <x:row r="28" ht="54" customHeight="1">
      <x:c r="A28" s="6" t="str">
        <x:v>BOM-027</x:v>
      </x:c>
      <x:c r="B28" s="6" t="str">
        <x:v>-SC100</x:v>
      </x:c>
      <x:c r="C28" s="6" t="str">
        <x:v>Shield-clamp rail and spring clamps</x:v>
      </x:c>
      <x:c r="D28" s="6" t="str"/>
      <x:c r="E28" s="6" t="str"/>
      <x:c r="F28" s="6" t="str">
        <x:v>12</x:v>
      </x:c>
      <x:c r="G28" s="6" t="str">
        <x:v>Provisional quantity</x:v>
      </x:c>
      <x:c r="H28" s="6" t="str">
        <x:v>Panel</x:v>
      </x:c>
      <x:c r="I28" s="6" t="str">
        <x:v>Cable OD and final shield count open</x:v>
      </x:c>
      <x:c r="J28" s="6" t="str">
        <x:v>=FC01+CP01-SC100</x:v>
      </x:c>
    </x:row>
    <x:row r="29" ht="54" customHeight="1">
      <x:c r="A29" s="6" t="str">
        <x:v>BOM-028</x:v>
      </x:c>
      <x:c r="B29" s="6" t="str">
        <x:v>-ENC100</x:v>
      </x:c>
      <x:c r="C29" s="6" t="str">
        <x:v>IP-rated enclosure with mounting plate</x:v>
      </x:c>
      <x:c r="D29" s="6" t="str"/>
      <x:c r="E29" s="6" t="str"/>
      <x:c r="F29" s="6" t="str">
        <x:v>1</x:v>
      </x:c>
      <x:c r="G29" s="6" t="str">
        <x:v>TBD</x:v>
      </x:c>
      <x:c r="H29" s="6" t="str">
        <x:v>Panel</x:v>
      </x:c>
      <x:c r="I29" s="6" t="str">
        <x:v>Environment, IP rating and thermal calculation open</x:v>
      </x:c>
      <x:c r="J29" s="6" t="str">
        <x:v>=FC01+CP01-ENC100</x:v>
      </x:c>
    </x:row>
    <x:row r="30" ht="54" customHeight="1">
      <x:c r="A30" s="6" t="str">
        <x:v>BOM-029</x:v>
      </x:c>
      <x:c r="B30" s="6" t="str">
        <x:v>-WD100</x:v>
      </x:c>
      <x:c r="C30" s="6" t="str">
        <x:v>Slotted wiring duct set</x:v>
      </x:c>
      <x:c r="D30" s="6" t="str"/>
      <x:c r="E30" s="6" t="str"/>
      <x:c r="F30" s="6" t="str">
        <x:v>1</x:v>
      </x:c>
      <x:c r="G30" s="6" t="str">
        <x:v>TBD</x:v>
      </x:c>
      <x:c r="H30" s="6" t="str">
        <x:v>Panel</x:v>
      </x:c>
      <x:c r="I30" s="6" t="str">
        <x:v>Duct fill pending final conductors</x:v>
      </x:c>
      <x:c r="J30" s="6" t="str">
        <x:v>=FC01+CP01-WD100</x:v>
      </x:c>
    </x:row>
    <x:row r="31" ht="54" customHeight="1">
      <x:c r="A31" s="6" t="str">
        <x:v>BOM-030</x:v>
      </x:c>
      <x:c r="B31" s="6" t="str">
        <x:v>-DR100</x:v>
      </x:c>
      <x:c r="C31" s="6" t="str">
        <x:v>35 mm DIN rail set</x:v>
      </x:c>
      <x:c r="D31" s="6" t="str"/>
      <x:c r="E31" s="6" t="str"/>
      <x:c r="F31" s="6" t="str">
        <x:v>1</x:v>
      </x:c>
      <x:c r="G31" s="6" t="str">
        <x:v>TBD</x:v>
      </x:c>
      <x:c r="H31" s="6" t="str">
        <x:v>Panel</x:v>
      </x:c>
      <x:c r="I31" s="6" t="str">
        <x:v>Final layout open</x:v>
      </x:c>
      <x:c r="J31" s="6" t="str">
        <x:v>=FC01+CP01-DR100</x:v>
      </x:c>
    </x:row>
    <x:row r="32" ht="54" customHeight="1">
      <x:c r="A32" s="6" t="str">
        <x:v>BOM-031</x:v>
      </x:c>
      <x:c r="B32" s="6" t="str">
        <x:v>-GL100</x:v>
      </x:c>
      <x:c r="C32" s="6" t="str">
        <x:v>Cable glands and EMC glands</x:v>
      </x:c>
      <x:c r="D32" s="6" t="str"/>
      <x:c r="E32" s="6" t="str"/>
      <x:c r="F32" s="6" t="str">
        <x:v>1</x:v>
      </x:c>
      <x:c r="G32" s="6" t="str">
        <x:v>TBD</x:v>
      </x:c>
      <x:c r="H32" s="6" t="str">
        <x:v>Installation</x:v>
      </x:c>
      <x:c r="I32" s="6" t="str">
        <x:v>Cable OD and IP rating open</x:v>
      </x:c>
      <x:c r="J32" s="6" t="str">
        <x:v>=FC01+FLD-GL100</x:v>
      </x:c>
    </x:row>
    <x:row r="33" ht="54" customHeight="1">
      <x:c r="A33" s="6" t="str">
        <x:v>BOM-032</x:v>
      </x:c>
      <x:c r="B33" s="6" t="str">
        <x:v>-FAN100</x:v>
      </x:c>
      <x:c r="C33" s="6" t="str">
        <x:v>Filter fan / cooling solution</x:v>
      </x:c>
      <x:c r="D33" s="6" t="str"/>
      <x:c r="E33" s="6" t="str"/>
      <x:c r="F33" s="6" t="str">
        <x:v>1</x:v>
      </x:c>
      <x:c r="G33" s="6" t="str">
        <x:v>TBD</x:v>
      </x:c>
      <x:c r="H33" s="6" t="str">
        <x:v>Panel</x:v>
      </x:c>
      <x:c r="I33" s="6" t="str">
        <x:v>Thermal model and ambient inputs open</x:v>
      </x:c>
      <x:c r="J33" s="6" t="str">
        <x:v>=FC01+CP01-FAN100</x:v>
      </x:c>
    </x:row>
    <x:row r="34" ht="54" customHeight="1">
      <x:c r="A34" s="6" t="str">
        <x:v>BOM-033</x:v>
      </x:c>
      <x:c r="B34" s="6" t="str">
        <x:v>-M100</x:v>
      </x:c>
      <x:c r="C34" s="6" t="str">
        <x:v>Conveyor motor</x:v>
      </x:c>
      <x:c r="D34" s="6" t="str"/>
      <x:c r="E34" s="6" t="str"/>
      <x:c r="F34" s="6" t="str">
        <x:v>1</x:v>
      </x:c>
      <x:c r="G34" s="6" t="str">
        <x:v>TBD</x:v>
      </x:c>
      <x:c r="H34" s="6" t="str">
        <x:v>Field</x:v>
      </x:c>
      <x:c r="I34" s="6" t="str">
        <x:v>Nameplate, duty, cable and mechanical data required</x:v>
      </x:c>
      <x:c r="J34" s="6" t="str">
        <x:v>=FC01+FLD-M100</x:v>
      </x:c>
    </x:row>
    <x:row r="35" ht="54" customHeight="1">
      <x:c r="A35" s="6" t="str">
        <x:v>BOM-034</x:v>
      </x:c>
      <x:c r="B35" s="6" t="str">
        <x:v>-M101</x:v>
      </x:c>
      <x:c r="C35" s="6" t="str">
        <x:v>Pump motor</x:v>
      </x:c>
      <x:c r="D35" s="6" t="str"/>
      <x:c r="E35" s="6" t="str"/>
      <x:c r="F35" s="6" t="str">
        <x:v>1</x:v>
      </x:c>
      <x:c r="G35" s="6" t="str">
        <x:v>TBD</x:v>
      </x:c>
      <x:c r="H35" s="6" t="str">
        <x:v>Field</x:v>
      </x:c>
      <x:c r="I35" s="6" t="str">
        <x:v>Pump curve, nameplate, dead-head and cable data required</x:v>
      </x:c>
      <x:c r="J35" s="6" t="str">
        <x:v>=FC01+FLD-M101</x:v>
      </x:c>
    </x:row>
    <x:row r="36" ht="54" customHeight="1">
      <x:c r="A36" s="6" t="str">
        <x:v>BOM-035</x:v>
      </x:c>
      <x:c r="B36" s="6" t="str">
        <x:v>-YV100</x:v>
      </x:c>
      <x:c r="C36" s="6" t="str">
        <x:v>Gate valve/cylinder solenoid</x:v>
      </x:c>
      <x:c r="D36" s="6" t="str"/>
      <x:c r="E36" s="6" t="str"/>
      <x:c r="F36" s="6" t="str">
        <x:v>1</x:v>
      </x:c>
      <x:c r="G36" s="6" t="str">
        <x:v>TBD</x:v>
      </x:c>
      <x:c r="H36" s="6" t="str">
        <x:v>Field</x:v>
      </x:c>
      <x:c r="I36" s="6" t="str">
        <x:v>Coil current, response and fail state required</x:v>
      </x:c>
      <x:c r="J36" s="6" t="str">
        <x:v>=FC01+FLD-YV100</x:v>
      </x:c>
    </x:row>
    <x:row r="37" ht="54" customHeight="1">
      <x:c r="A37" s="6" t="str">
        <x:v>BOM-036</x:v>
      </x:c>
      <x:c r="B37" s="6" t="str">
        <x:v>-YV101</x:v>
      </x:c>
      <x:c r="C37" s="6" t="str">
        <x:v>Clamp valve/cylinder solenoid</x:v>
      </x:c>
      <x:c r="D37" s="6" t="str"/>
      <x:c r="E37" s="6" t="str"/>
      <x:c r="F37" s="6" t="str">
        <x:v>1</x:v>
      </x:c>
      <x:c r="G37" s="6" t="str">
        <x:v>TBD</x:v>
      </x:c>
      <x:c r="H37" s="6" t="str">
        <x:v>Field</x:v>
      </x:c>
      <x:c r="I37" s="6" t="str">
        <x:v>Coil current, response and fail state required</x:v>
      </x:c>
      <x:c r="J37" s="6" t="str">
        <x:v>=FC01+FLD-YV101</x:v>
      </x:c>
    </x:row>
    <x:row r="38" ht="54" customHeight="1">
      <x:c r="A38" s="6" t="str">
        <x:v>BOM-037</x:v>
      </x:c>
      <x:c r="B38" s="6" t="str">
        <x:v>-YV102</x:v>
      </x:c>
      <x:c r="C38" s="6" t="str">
        <x:v>Fill valve channel 1, fail closed</x:v>
      </x:c>
      <x:c r="D38" s="6" t="str"/>
      <x:c r="E38" s="6" t="str"/>
      <x:c r="F38" s="6" t="str">
        <x:v>1</x:v>
      </x:c>
      <x:c r="G38" s="6" t="str">
        <x:v>TBD</x:v>
      </x:c>
      <x:c r="H38" s="6" t="str">
        <x:v>Field</x:v>
      </x:c>
      <x:c r="I38" s="6" t="str">
        <x:v>Wetted materials, Kv, coil and closing time required</x:v>
      </x:c>
      <x:c r="J38" s="6" t="str">
        <x:v>=FC01+FLD-YV102</x:v>
      </x:c>
    </x:row>
    <x:row r="39" ht="54" customHeight="1">
      <x:c r="A39" s="6" t="str">
        <x:v>BOM-038</x:v>
      </x:c>
      <x:c r="B39" s="6" t="str">
        <x:v>-YV103</x:v>
      </x:c>
      <x:c r="C39" s="6" t="str">
        <x:v>Fill valve channel 2, fail closed</x:v>
      </x:c>
      <x:c r="D39" s="6" t="str"/>
      <x:c r="E39" s="6" t="str"/>
      <x:c r="F39" s="6" t="str">
        <x:v>1</x:v>
      </x:c>
      <x:c r="G39" s="6" t="str">
        <x:v>TBD</x:v>
      </x:c>
      <x:c r="H39" s="6" t="str">
        <x:v>Field</x:v>
      </x:c>
      <x:c r="I39" s="6" t="str">
        <x:v>Wetted materials, Kv, coil and closing time required</x:v>
      </x:c>
      <x:c r="J39" s="6" t="str">
        <x:v>=FC01+FLD-YV103</x:v>
      </x:c>
    </x:row>
    <x:row r="40" ht="54" customHeight="1">
      <x:c r="A40" s="6" t="str">
        <x:v>BOM-039</x:v>
      </x:c>
      <x:c r="B40" s="6" t="str">
        <x:v>-FT100</x:v>
      </x:c>
      <x:c r="C40" s="6" t="str">
        <x:v>Pulse plus 4-20 mA flowmeter channel 1</x:v>
      </x:c>
      <x:c r="D40" s="6" t="str"/>
      <x:c r="E40" s="6" t="str"/>
      <x:c r="F40" s="6" t="str">
        <x:v>1</x:v>
      </x:c>
      <x:c r="G40" s="6" t="str">
        <x:v>TBD</x:v>
      </x:c>
      <x:c r="H40" s="6" t="str">
        <x:v>Field</x:v>
      </x:c>
      <x:c r="I40" s="6" t="str">
        <x:v>K-factor, max pulse rate and analog diagnostics required</x:v>
      </x:c>
      <x:c r="J40" s="6" t="str">
        <x:v>=FC01+FLD-FT100</x:v>
      </x:c>
    </x:row>
    <x:row r="41" ht="54" customHeight="1">
      <x:c r="A41" s="6" t="str">
        <x:v>BOM-040</x:v>
      </x:c>
      <x:c r="B41" s="6" t="str">
        <x:v>-FT101</x:v>
      </x:c>
      <x:c r="C41" s="6" t="str">
        <x:v>Pulse plus 4-20 mA flowmeter channel 2</x:v>
      </x:c>
      <x:c r="D41" s="6" t="str"/>
      <x:c r="E41" s="6" t="str"/>
      <x:c r="F41" s="6" t="str">
        <x:v>1</x:v>
      </x:c>
      <x:c r="G41" s="6" t="str">
        <x:v>TBD</x:v>
      </x:c>
      <x:c r="H41" s="6" t="str">
        <x:v>Field</x:v>
      </x:c>
      <x:c r="I41" s="6" t="str">
        <x:v>K-factor, max pulse rate and analog diagnostics required</x:v>
      </x:c>
      <x:c r="J41" s="6" t="str">
        <x:v>=FC01+FLD-FT101</x:v>
      </x:c>
    </x:row>
    <x:row r="42" ht="54" customHeight="1">
      <x:c r="A42" s="6" t="str">
        <x:v>BOM-041</x:v>
      </x:c>
      <x:c r="B42" s="6" t="str">
        <x:v>-S100</x:v>
      </x:c>
      <x:c r="C42" s="6" t="str">
        <x:v>Local reset pushbutton</x:v>
      </x:c>
      <x:c r="D42" s="6" t="str"/>
      <x:c r="E42" s="6" t="str"/>
      <x:c r="F42" s="6" t="str">
        <x:v>1</x:v>
      </x:c>
      <x:c r="G42" s="6" t="str">
        <x:v>TBD</x:v>
      </x:c>
      <x:c r="H42" s="6" t="str">
        <x:v>Field</x:v>
      </x:c>
      <x:c r="I42" s="6" t="str">
        <x:v>Operator-station family and IP rating open</x:v>
      </x:c>
      <x:c r="J42" s="6" t="str">
        <x:v>=FC01+FLD-S100</x:v>
      </x:c>
    </x:row>
    <x:row r="43" ht="54" customHeight="1">
      <x:c r="A43" s="6" t="str">
        <x:v>BOM-042</x:v>
      </x:c>
      <x:c r="B43" s="6" t="str">
        <x:v>-S101</x:v>
      </x:c>
      <x:c r="C43" s="6" t="str">
        <x:v>Local controlled-stop pushbutton</x:v>
      </x:c>
      <x:c r="D43" s="6" t="str"/>
      <x:c r="E43" s="6" t="str"/>
      <x:c r="F43" s="6" t="str">
        <x:v>1</x:v>
      </x:c>
      <x:c r="G43" s="6" t="str">
        <x:v>TBD</x:v>
      </x:c>
      <x:c r="H43" s="6" t="str">
        <x:v>Field</x:v>
      </x:c>
      <x:c r="I43" s="6" t="str">
        <x:v>Not a safety stop; operator-station family open</x:v>
      </x:c>
      <x:c r="J43" s="6" t="str">
        <x:v>=FC01+FLD-S101</x:v>
      </x:c>
    </x:row>
    <x:row r="44" ht="54" customHeight="1">
      <x:c r="A44" s="6" t="str">
        <x:v>BOM-043</x:v>
      </x:c>
      <x:c r="B44" s="6" t="str">
        <x:v>-S102</x:v>
      </x:c>
      <x:c r="C44" s="6" t="str">
        <x:v>Guard-status dry-contact monitoring interface</x:v>
      </x:c>
      <x:c r="D44" s="6" t="str"/>
      <x:c r="E44" s="6" t="str"/>
      <x:c r="F44" s="6" t="str">
        <x:v>1</x:v>
      </x:c>
      <x:c r="G44" s="6" t="str">
        <x:v>TBD</x:v>
      </x:c>
      <x:c r="H44" s="6" t="str">
        <x:v>Field</x:v>
      </x:c>
      <x:c r="I44" s="6" t="str">
        <x:v>Monitoring only; qualified guard-interlocking design remains external</x:v>
      </x:c>
      <x:c r="J44" s="6" t="str">
        <x:v>=FC01+FLD-S102</x:v>
      </x:c>
    </x:row>
    <x:row r="45" ht="54" customHeight="1">
      <x:c r="A45" s="6" t="str">
        <x:v>BOM-044</x:v>
      </x:c>
      <x:c r="B45" s="6" t="str">
        <x:v>-H101</x:v>
      </x:c>
      <x:c r="C45" s="6" t="str">
        <x:v>Three-color stack light with sounder</x:v>
      </x:c>
      <x:c r="D45" s="6" t="str"/>
      <x:c r="E45" s="6" t="str"/>
      <x:c r="F45" s="6" t="str">
        <x:v>1</x:v>
      </x:c>
      <x:c r="G45" s="6" t="str">
        <x:v>TBD</x:v>
      </x:c>
      <x:c r="H45" s="6" t="str">
        <x:v>Field</x:v>
      </x:c>
      <x:c r="I45" s="6" t="str">
        <x:v>Lens, sound level and mounting open</x:v>
      </x:c>
      <x:c r="J45" s="6" t="str">
        <x:v>=FC01+FLD-H101</x:v>
      </x:c>
    </x:row>
    <x:row r="46" ht="54" customHeight="1">
      <x:c r="A46" s="6" t="str">
        <x:v>BOM-045</x:v>
      </x:c>
      <x:c r="B46" s="6" t="str">
        <x:v>-IF140</x:v>
      </x:c>
      <x:c r="C46" s="6" t="str">
        <x:v>Capper interface terminals/relays</x:v>
      </x:c>
      <x:c r="D46" s="6" t="str"/>
      <x:c r="E46" s="6" t="str"/>
      <x:c r="F46" s="6" t="str">
        <x:v>1</x:v>
      </x:c>
      <x:c r="G46" s="6" t="str">
        <x:v>TBD</x:v>
      </x:c>
      <x:c r="H46" s="6" t="str">
        <x:v>Field</x:v>
      </x:c>
      <x:c r="I46" s="6" t="str">
        <x:v>Interface specification missing</x:v>
      </x:c>
      <x:c r="J46" s="6" t="str">
        <x:v>=FC01+FLD-IF140</x:v>
      </x:c>
    </x:row>
    <x:row r="47" ht="54" customHeight="1">
      <x:c r="A47" s="6" t="str">
        <x:v>BOM-046</x:v>
      </x:c>
      <x:c r="B47" s="6" t="str">
        <x:v>-CAM200</x:v>
      </x:c>
      <x:c r="C47" s="6" t="str">
        <x:v>Industrial camera</x:v>
      </x:c>
      <x:c r="D47" s="6" t="str"/>
      <x:c r="E47" s="6" t="str"/>
      <x:c r="F47" s="6" t="str">
        <x:v>1</x:v>
      </x:c>
      <x:c r="G47" s="6" t="str">
        <x:v>TBD</x:v>
      </x:c>
      <x:c r="H47" s="6" t="str">
        <x:v>Vision</x:v>
      </x:c>
      <x:c r="I47" s="6" t="str">
        <x:v>Vision physical basis and target interface open</x:v>
      </x:c>
      <x:c r="J47" s="6" t="str">
        <x:v>=FC01+FLD-CAM200</x:v>
      </x:c>
    </x:row>
    <x:row r="48" ht="54" customHeight="1">
      <x:c r="A48" s="6" t="str">
        <x:v>BOM-047</x:v>
      </x:c>
      <x:c r="B48" s="6" t="str">
        <x:v>-LENS200</x:v>
      </x:c>
      <x:c r="C48" s="6" t="str">
        <x:v>C-mount lens</x:v>
      </x:c>
      <x:c r="D48" s="6" t="str"/>
      <x:c r="E48" s="6" t="str"/>
      <x:c r="F48" s="6" t="str">
        <x:v>1</x:v>
      </x:c>
      <x:c r="G48" s="6" t="str">
        <x:v>TBD</x:v>
      </x:c>
      <x:c r="H48" s="6" t="str">
        <x:v>Vision</x:v>
      </x:c>
      <x:c r="I48" s="6" t="str">
        <x:v>Sensor, FOV, working distance and DoF open</x:v>
      </x:c>
      <x:c r="J48" s="6" t="str">
        <x:v>=FC01+FLD-LENS200</x:v>
      </x:c>
    </x:row>
    <x:row r="49" ht="54" customHeight="1">
      <x:c r="A49" s="6" t="str">
        <x:v>BOM-048</x:v>
      </x:c>
      <x:c r="B49" s="6" t="str">
        <x:v>-LT200</x:v>
      </x:c>
      <x:c r="C49" s="6" t="str">
        <x:v>Machine-vision backlight/front-light assembly</x:v>
      </x:c>
      <x:c r="D49" s="6" t="str"/>
      <x:c r="E49" s="6" t="str"/>
      <x:c r="F49" s="6" t="str">
        <x:v>1</x:v>
      </x:c>
      <x:c r="G49" s="6" t="str">
        <x:v>TBD</x:v>
      </x:c>
      <x:c r="H49" s="6" t="str">
        <x:v>Vision</x:v>
      </x:c>
      <x:c r="I49" s="6" t="str">
        <x:v>Optical trials and exposure limits open</x:v>
      </x:c>
      <x:c r="J49" s="6" t="str">
        <x:v>=FC01+FLD-LT200</x:v>
      </x:c>
    </x:row>
    <x:row r="50" ht="54" customHeight="1">
      <x:c r="A50" s="6" t="str">
        <x:v>BOM-049</x:v>
      </x:c>
      <x:c r="B50" s="6" t="str">
        <x:v>-CB200</x:v>
      </x:c>
      <x:c r="C50" s="6" t="str">
        <x:v>Industrial Jetson carrier</x:v>
      </x:c>
      <x:c r="D50" s="6" t="str"/>
      <x:c r="E50" s="6" t="str"/>
      <x:c r="F50" s="6" t="str">
        <x:v>1</x:v>
      </x:c>
      <x:c r="G50" s="6" t="str">
        <x:v>TBD</x:v>
      </x:c>
      <x:c r="H50" s="6" t="str">
        <x:v>Vision</x:v>
      </x:c>
      <x:c r="I50" s="6" t="str">
        <x:v>Power, lifecycle, thermal and EMC selection open</x:v>
      </x:c>
      <x:c r="J50" s="6" t="str">
        <x:v>=FC01+FLD-CB200</x:v>
      </x:c>
    </x:row>
    <x:row r="51" ht="54" customHeight="1">
      <x:c r="A51" s="6" t="str">
        <x:v>BOM-050</x:v>
      </x:c>
      <x:c r="B51" s="6" t="str">
        <x:v>-W900</x:v>
      </x:c>
      <x:c r="C51" s="6" t="str">
        <x:v>Industrial Ethernet patch cables/connectors</x:v>
      </x:c>
      <x:c r="D51" s="6" t="str"/>
      <x:c r="E51" s="6" t="str"/>
      <x:c r="F51" s="6" t="str">
        <x:v>7</x:v>
      </x:c>
      <x:c r="G51" s="6" t="str">
        <x:v>Provisional quantity</x:v>
      </x:c>
      <x:c r="H51" s="6" t="str">
        <x:v>Installation</x:v>
      </x:c>
      <x:c r="I51" s="6" t="str">
        <x:v>Lengths and routing open</x:v>
      </x:c>
      <x:c r="J51" s="6" t="str">
        <x:v>=FC01+FLD-W900</x:v>
      </x:c>
    </x:row>
    <x:row r="52" ht="54" customHeight="1">
      <x:c r="A52" s="6" t="str">
        <x:v>BOM-051</x:v>
      </x:c>
      <x:c r="B52" s="6" t="str">
        <x:v>-W901</x:v>
      </x:c>
      <x:c r="C52" s="6" t="str">
        <x:v>Shielded VFD motor cables and EMC termination kits</x:v>
      </x:c>
      <x:c r="D52" s="6" t="str"/>
      <x:c r="E52" s="6" t="str"/>
      <x:c r="F52" s="6" t="str">
        <x:v>2</x:v>
      </x:c>
      <x:c r="G52" s="6" t="str">
        <x:v>TBD</x:v>
      </x:c>
      <x:c r="H52" s="6" t="str">
        <x:v>Installation</x:v>
      </x:c>
      <x:c r="I52" s="6" t="str">
        <x:v>Motor cable lengths and drive EMC design open</x:v>
      </x:c>
      <x:c r="J52" s="6" t="str">
        <x:v>=FC01+FLD-W901</x:v>
      </x:c>
    </x:row>
    <x:row r="53" ht="54" customHeight="1">
      <x:c r="A53" s="6" t="str">
        <x:v>BOM-052</x:v>
      </x:c>
      <x:c r="B53" s="6" t="str">
        <x:v>-CONS100</x:v>
      </x:c>
      <x:c r="C53" s="6" t="str">
        <x:v>Markers, ferrules, lugs, ties and installation consumables</x:v>
      </x:c>
      <x:c r="D53" s="6" t="str"/>
      <x:c r="E53" s="6" t="str"/>
      <x:c r="F53" s="6" t="str">
        <x:v>1</x:v>
      </x:c>
      <x:c r="G53" s="6" t="str">
        <x:v>TBD</x:v>
      </x:c>
      <x:c r="H53" s="6" t="str">
        <x:v>Installation</x:v>
      </x:c>
      <x:c r="I53" s="6" t="str">
        <x:v>Quantity after detailed design</x:v>
      </x:c>
      <x:c r="J53" s="6" t="str">
        <x:v>=FC01+FLD-CONS100</x:v>
      </x:c>
    </x:row>
    <x:row r="54" ht="54" customHeight="1">
      <x:c r="A54" s="6" t="str">
        <x:v>BOM-053</x:v>
      </x:c>
      <x:c r="B54" s="6" t="str">
        <x:v>-B100</x:v>
      </x:c>
      <x:c r="C54" s="6" t="str">
        <x:v>Pneumatic pressure switch</x:v>
      </x:c>
      <x:c r="D54" s="6" t="str"/>
      <x:c r="E54" s="6" t="str"/>
      <x:c r="F54" s="6" t="str">
        <x:v>1</x:v>
      </x:c>
      <x:c r="G54" s="6" t="str">
        <x:v>TBD</x:v>
      </x:c>
      <x:c r="H54" s="6" t="str">
        <x:v>Field</x:v>
      </x:c>
      <x:c r="I54" s="6" t="str">
        <x:v>Automatically added from canonical I/O; exact device selection open</x:v>
      </x:c>
      <x:c r="J54" s="6" t="str">
        <x:v>=FC01+FLD-B100</x:v>
      </x:c>
    </x:row>
    <x:row r="55" ht="54" customHeight="1">
      <x:c r="A55" s="6" t="str">
        <x:v>BOM-054</x:v>
      </x:c>
      <x:c r="B55" s="6" t="str">
        <x:v>-B101</x:v>
      </x:c>
      <x:c r="C55" s="6" t="str">
        <x:v>Product supply permissive</x:v>
      </x:c>
      <x:c r="D55" s="6" t="str"/>
      <x:c r="E55" s="6" t="str"/>
      <x:c r="F55" s="6" t="str">
        <x:v>1</x:v>
      </x:c>
      <x:c r="G55" s="6" t="str">
        <x:v>TBD</x:v>
      </x:c>
      <x:c r="H55" s="6" t="str">
        <x:v>Field</x:v>
      </x:c>
      <x:c r="I55" s="6" t="str">
        <x:v>Automatically added from canonical I/O; exact device selection open</x:v>
      </x:c>
      <x:c r="J55" s="6" t="str">
        <x:v>=FC01+FLD-B101</x:v>
      </x:c>
    </x:row>
    <x:row r="56" ht="54" customHeight="1">
      <x:c r="A56" s="6" t="str">
        <x:v>BOM-055</x:v>
      </x:c>
      <x:c r="B56" s="6" t="str">
        <x:v>-B110</x:v>
      </x:c>
      <x:c r="C56" s="6" t="str">
        <x:v>Bottle 1 position sensor</x:v>
      </x:c>
      <x:c r="D56" s="6" t="str"/>
      <x:c r="E56" s="6" t="str"/>
      <x:c r="F56" s="6" t="str">
        <x:v>1</x:v>
      </x:c>
      <x:c r="G56" s="6" t="str">
        <x:v>TBD</x:v>
      </x:c>
      <x:c r="H56" s="6" t="str">
        <x:v>Field</x:v>
      </x:c>
      <x:c r="I56" s="6" t="str">
        <x:v>Automatically added from canonical I/O; exact device selection open</x:v>
      </x:c>
      <x:c r="J56" s="6" t="str">
        <x:v>=FC01+FLD-B110</x:v>
      </x:c>
    </x:row>
    <x:row r="57" ht="54" customHeight="1">
      <x:c r="A57" s="6" t="str">
        <x:v>BOM-056</x:v>
      </x:c>
      <x:c r="B57" s="6" t="str">
        <x:v>-B111</x:v>
      </x:c>
      <x:c r="C57" s="6" t="str">
        <x:v>Bottle 2 position sensor</x:v>
      </x:c>
      <x:c r="D57" s="6" t="str"/>
      <x:c r="E57" s="6" t="str"/>
      <x:c r="F57" s="6" t="str">
        <x:v>1</x:v>
      </x:c>
      <x:c r="G57" s="6" t="str">
        <x:v>TBD</x:v>
      </x:c>
      <x:c r="H57" s="6" t="str">
        <x:v>Field</x:v>
      </x:c>
      <x:c r="I57" s="6" t="str">
        <x:v>Automatically added from canonical I/O; exact device selection open</x:v>
      </x:c>
      <x:c r="J57" s="6" t="str">
        <x:v>=FC01+FLD-B111</x:v>
      </x:c>
    </x:row>
    <x:row r="58" ht="54" customHeight="1">
      <x:c r="A58" s="6" t="str">
        <x:v>BOM-057</x:v>
      </x:c>
      <x:c r="B58" s="6" t="str">
        <x:v>-B120</x:v>
      </x:c>
      <x:c r="C58" s="6" t="str">
        <x:v>Gate open feedback</x:v>
      </x:c>
      <x:c r="D58" s="6" t="str"/>
      <x:c r="E58" s="6" t="str"/>
      <x:c r="F58" s="6" t="str">
        <x:v>1</x:v>
      </x:c>
      <x:c r="G58" s="6" t="str">
        <x:v>TBD</x:v>
      </x:c>
      <x:c r="H58" s="6" t="str">
        <x:v>Field</x:v>
      </x:c>
      <x:c r="I58" s="6" t="str">
        <x:v>Automatically added from canonical I/O; exact device selection open</x:v>
      </x:c>
      <x:c r="J58" s="6" t="str">
        <x:v>=FC01+FLD-B120</x:v>
      </x:c>
    </x:row>
    <x:row r="59" ht="54" customHeight="1">
      <x:c r="A59" s="6" t="str">
        <x:v>BOM-058</x:v>
      </x:c>
      <x:c r="B59" s="6" t="str">
        <x:v>-B121</x:v>
      </x:c>
      <x:c r="C59" s="6" t="str">
        <x:v>Gate closed feedback</x:v>
      </x:c>
      <x:c r="D59" s="6" t="str"/>
      <x:c r="E59" s="6" t="str"/>
      <x:c r="F59" s="6" t="str">
        <x:v>1</x:v>
      </x:c>
      <x:c r="G59" s="6" t="str">
        <x:v>TBD</x:v>
      </x:c>
      <x:c r="H59" s="6" t="str">
        <x:v>Field</x:v>
      </x:c>
      <x:c r="I59" s="6" t="str">
        <x:v>Automatically added from canonical I/O; exact device selection open</x:v>
      </x:c>
      <x:c r="J59" s="6" t="str">
        <x:v>=FC01+FLD-B121</x:v>
      </x:c>
    </x:row>
    <x:row r="60" ht="54" customHeight="1">
      <x:c r="A60" s="6" t="str">
        <x:v>BOM-059</x:v>
      </x:c>
      <x:c r="B60" s="6" t="str">
        <x:v>-B122</x:v>
      </x:c>
      <x:c r="C60" s="6" t="str">
        <x:v>Clamp released feedback</x:v>
      </x:c>
      <x:c r="D60" s="6" t="str"/>
      <x:c r="E60" s="6" t="str"/>
      <x:c r="F60" s="6" t="str">
        <x:v>1</x:v>
      </x:c>
      <x:c r="G60" s="6" t="str">
        <x:v>TBD</x:v>
      </x:c>
      <x:c r="H60" s="6" t="str">
        <x:v>Field</x:v>
      </x:c>
      <x:c r="I60" s="6" t="str">
        <x:v>Automatically added from canonical I/O; exact device selection open</x:v>
      </x:c>
      <x:c r="J60" s="6" t="str">
        <x:v>=FC01+FLD-B122</x:v>
      </x:c>
    </x:row>
    <x:row r="61" ht="54" customHeight="1">
      <x:c r="A61" s="6" t="str">
        <x:v>BOM-060</x:v>
      </x:c>
      <x:c r="B61" s="6" t="str">
        <x:v>-B123</x:v>
      </x:c>
      <x:c r="C61" s="6" t="str">
        <x:v>Clamp engaged feedback</x:v>
      </x:c>
      <x:c r="D61" s="6" t="str"/>
      <x:c r="E61" s="6" t="str"/>
      <x:c r="F61" s="6" t="str">
        <x:v>1</x:v>
      </x:c>
      <x:c r="G61" s="6" t="str">
        <x:v>TBD</x:v>
      </x:c>
      <x:c r="H61" s="6" t="str">
        <x:v>Field</x:v>
      </x:c>
      <x:c r="I61" s="6" t="str">
        <x:v>Automatically added from canonical I/O; exact device selection open</x:v>
      </x:c>
      <x:c r="J61" s="6" t="str">
        <x:v>=FC01+FLD-B123</x:v>
      </x:c>
    </x:row>
    <x:row r="62" ht="54" customHeight="1">
      <x:c r="A62" s="6" t="str">
        <x:v>BOM-061</x:v>
      </x:c>
      <x:c r="B62" s="6" t="str">
        <x:v>-B130</x:v>
      </x:c>
      <x:c r="C62" s="6" t="str">
        <x:v>Valve 1 closed proof</x:v>
      </x:c>
      <x:c r="D62" s="6" t="str"/>
      <x:c r="E62" s="6" t="str"/>
      <x:c r="F62" s="6" t="str">
        <x:v>1</x:v>
      </x:c>
      <x:c r="G62" s="6" t="str">
        <x:v>TBD</x:v>
      </x:c>
      <x:c r="H62" s="6" t="str">
        <x:v>Field</x:v>
      </x:c>
      <x:c r="I62" s="6" t="str">
        <x:v>Automatically added from canonical I/O; exact device selection open</x:v>
      </x:c>
      <x:c r="J62" s="6" t="str">
        <x:v>=FC01+FLD-B130</x:v>
      </x:c>
    </x:row>
    <x:row r="63" ht="54" customHeight="1">
      <x:c r="A63" s="6" t="str">
        <x:v>BOM-062</x:v>
      </x:c>
      <x:c r="B63" s="6" t="str">
        <x:v>-B131</x:v>
      </x:c>
      <x:c r="C63" s="6" t="str">
        <x:v>Valve 2 closed proof</x:v>
      </x:c>
      <x:c r="D63" s="6" t="str"/>
      <x:c r="E63" s="6" t="str"/>
      <x:c r="F63" s="6" t="str">
        <x:v>1</x:v>
      </x:c>
      <x:c r="G63" s="6" t="str">
        <x:v>TBD</x:v>
      </x:c>
      <x:c r="H63" s="6" t="str">
        <x:v>Field</x:v>
      </x:c>
      <x:c r="I63" s="6" t="str">
        <x:v>Automatically added from canonical I/O; exact device selection open</x:v>
      </x:c>
      <x:c r="J63" s="6" t="str">
        <x:v>=FC01+FLD-B131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load</x:v>
      </x:c>
      <x:c r="B1" s="12" t="str">
        <x:v>voltage</x:v>
      </x:c>
      <x:c r="C1" s="12" t="str">
        <x:v>nominal_w</x:v>
      </x:c>
      <x:c r="D1" s="12" t="str">
        <x:v>demand_factor</x:v>
      </x:c>
      <x:c r="E1" s="12" t="str">
        <x:v>demand_w</x:v>
      </x:c>
      <x:c r="F1" s="12" t="str">
        <x:v>basis</x:v>
      </x:c>
    </x:row>
    <x:row r="2" ht="54" customHeight="1">
      <x:c r="A2" s="6" t="str">
        <x:v>PLC CPU and I/O</x:v>
      </x:c>
      <x:c r="B2" s="6" t="str">
        <x:v>24 VDC</x:v>
      </x:c>
      <x:c r="C2" s="6" t="str">
        <x:v>55</x:v>
      </x:c>
      <x:c r="D2" s="6" t="str">
        <x:v>1.0</x:v>
      </x:c>
      <x:c r="E2" s="6" t="str">
        <x:v>55</x:v>
      </x:c>
      <x:c r="F2" s="6" t="str">
        <x:v>Preliminary allowance; verify Siemens configuration</x:v>
      </x:c>
    </x:row>
    <x:row r="3" ht="54" customHeight="1">
      <x:c r="A3" s="6" t="str">
        <x:v>HMI</x:v>
      </x:c>
      <x:c r="B3" s="6" t="str">
        <x:v>24 VDC</x:v>
      </x:c>
      <x:c r="C3" s="6" t="str">
        <x:v>24</x:v>
      </x:c>
      <x:c r="D3" s="6" t="str">
        <x:v>1.0</x:v>
      </x:c>
      <x:c r="E3" s="6" t="str">
        <x:v>24</x:v>
      </x:c>
      <x:c r="F3" s="6" t="str">
        <x:v>Maximum-current allowance from product data</x:v>
      </x:c>
    </x:row>
    <x:row r="4" ht="54" customHeight="1">
      <x:c r="A4" s="6" t="str">
        <x:v>Relays, sensors and solenoids</x:v>
      </x:c>
      <x:c r="B4" s="6" t="str">
        <x:v>24 VDC</x:v>
      </x:c>
      <x:c r="C4" s="6" t="str">
        <x:v>150</x:v>
      </x:c>
      <x:c r="D4" s="6" t="str">
        <x:v>0.8</x:v>
      </x:c>
      <x:c r="E4" s="6" t="str">
        <x:v>120</x:v>
      </x:c>
      <x:c r="F4" s="6" t="str">
        <x:v>Duty-cycle allowance; inrush not finalized</x:v>
      </x:c>
    </x:row>
    <x:row r="5" ht="54" customHeight="1">
      <x:c r="A5" s="6" t="str">
        <x:v>Vision edge + camera + lighting</x:v>
      </x:c>
      <x:c r="B5" s="6" t="str">
        <x:v>24 VDC</x:v>
      </x:c>
      <x:c r="C5" s="6" t="str">
        <x:v>100</x:v>
      </x:c>
      <x:c r="D5" s="6" t="str">
        <x:v>1.0</x:v>
      </x:c>
      <x:c r="E5" s="6" t="str">
        <x:v>100</x:v>
      </x:c>
      <x:c r="F5" s="6" t="str">
        <x:v>Placeholder pending selected carrier/camera</x:v>
      </x:c>
    </x:row>
    <x:row r="6" ht="54" customHeight="1">
      <x:c r="A6" s="6" t="str">
        <x:v>24 VDC subtotal</x:v>
      </x:c>
      <x:c r="B6" s="6" t="str">
        <x:v>24 VDC</x:v>
      </x:c>
      <x:c r="C6" s="6" t="str">
        <x:v>329</x:v>
      </x:c>
      <x:c r="D6" s="6" t="str">
        <x:v>N/A</x:v>
      </x:c>
      <x:c r="E6" s="6" t="str">
        <x:v>299</x:v>
      </x:c>
      <x:c r="F6" s="6" t="str">
        <x:v>12.458 A demand; 20 A concept leaves 7.542 A (37.71% of rating) unused; minimum 15.573 A for 25% demand margin before inrush/derating</x:v>
      </x:c>
    </x:row>
    <x:row r="7" ht="54" customHeight="1">
      <x:c r="A7" s="6" t="str">
        <x:v>Conveyor drive</x:v>
      </x:c>
      <x:c r="B7" s="6" t="str">
        <x:v>400 VAC</x:v>
      </x:c>
      <x:c r="C7" s="6" t="str">
        <x:v>750</x:v>
      </x:c>
      <x:c r="D7" s="6" t="str">
        <x:v>1.0</x:v>
      </x:c>
      <x:c r="E7" s="6" t="str">
        <x:v>750</x:v>
      </x:c>
      <x:c r="F7" s="6" t="str">
        <x:v>Motor nameplate not supplied</x:v>
      </x:c>
    </x:row>
    <x:row r="8" ht="54" customHeight="1">
      <x:c r="A8" s="6" t="str">
        <x:v>Pump drive</x:v>
      </x:c>
      <x:c r="B8" s="6" t="str">
        <x:v>400 VAC</x:v>
      </x:c>
      <x:c r="C8" s="6" t="str">
        <x:v>750</x:v>
      </x:c>
      <x:c r="D8" s="6" t="str">
        <x:v>1.0</x:v>
      </x:c>
      <x:c r="E8" s="6" t="str">
        <x:v>750</x:v>
      </x:c>
      <x:c r="F8" s="6" t="str">
        <x:v>Pump curve/motor nameplate not supplied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0.630000114440918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0.630000114440918" hidden="0" customWidth="1"/>
    <x:col min="13" max="13" width="19.3799991607666" hidden="0" customWidth="1"/>
    <x:col min="14" max="14" width="33.75" hidden="0" customWidth="1"/>
    <x:col min="15" max="15" width="22.5" hidden="0" customWidth="1"/>
    <x:col min="16" max="16" width="19.3799991607666" hidden="0" customWidth="1"/>
  </x:cols>
  <x:sheetData>
    <x:row r="1" ht="31.5" customHeight="1">
      <x:c r="A1" s="12" t="str">
        <x:v>tag</x:v>
      </x:c>
      <x:c r="B1" s="12" t="str">
        <x:v>x_mm</x:v>
      </x:c>
      <x:c r="C1" s="12" t="str">
        <x:v>y_mm</x:v>
      </x:c>
      <x:c r="D1" s="12" t="str">
        <x:v>width_mm</x:v>
      </x:c>
      <x:c r="E1" s="12" t="str">
        <x:v>height_mm</x:v>
      </x:c>
      <x:c r="F1" s="12" t="str">
        <x:v>depth_mm</x:v>
      </x:c>
      <x:c r="G1" s="12" t="str">
        <x:v>mounting</x:v>
      </x:c>
      <x:c r="H1" s="12" t="str">
        <x:v>orientation</x:v>
      </x:c>
      <x:c r="I1" s="12" t="str">
        <x:v>zone</x:v>
      </x:c>
      <x:c r="J1" s="12" t="str">
        <x:v>top_clearance_mm</x:v>
      </x:c>
      <x:c r="K1" s="12" t="str">
        <x:v>bottom_clearance_mm</x:v>
      </x:c>
      <x:c r="L1" s="12" t="str">
        <x:v>side_clearance_mm</x:v>
      </x:c>
      <x:c r="M1" s="12" t="str">
        <x:v>heat_w</x:v>
      </x:c>
      <x:c r="N1" s="12" t="str">
        <x:v>dimension_basis</x:v>
      </x:c>
      <x:c r="O1" s="12" t="str">
        <x:v>placement_status</x:v>
      </x:c>
      <x:c r="P1" s="12" t="str">
        <x:v>full_designation</x:v>
      </x:c>
    </x:row>
    <x:row r="2" ht="54" customHeight="1">
      <x:c r="A2" s="6" t="str">
        <x:v>-A100</x:v>
      </x:c>
      <x:c r="B2" s="6" t="str">
        <x:v>300</x:v>
      </x:c>
      <x:c r="C2" s="6" t="str">
        <x:v>550</x:v>
      </x:c>
      <x:c r="D2" s="6" t="str">
        <x:v>35</x:v>
      </x:c>
      <x:c r="E2" s="6" t="str">
        <x:v>147</x:v>
      </x:c>
      <x:c r="F2" s="6" t="str">
        <x:v>129</x:v>
      </x:c>
      <x:c r="G2" s="6" t="str">
        <x:v>DIN rail R1</x:v>
      </x:c>
      <x:c r="H2" s="6" t="str">
        <x:v>Vertical unless manufacturer requires otherwise</x:v>
      </x:c>
      <x:c r="I2" s="6" t="str">
        <x:v>PLC / control</x:v>
      </x:c>
      <x:c r="J2" s="6" t="str">
        <x:v>25</x:v>
      </x:c>
      <x:c r="K2" s="6" t="str">
        <x:v>25</x:v>
      </x:c>
      <x:c r="L2" s="6" t="str">
        <x:v>0</x:v>
      </x:c>
      <x:c r="M2" s="6" t="str">
        <x:v>TBD</x:v>
      </x:c>
      <x:c r="N2" s="6" t="str">
        <x:v>Official Siemens product data; simplified rectangular selected-device envelope</x:v>
      </x:c>
      <x:c r="O2" s="6" t="str">
        <x:v>SELECTED BASELINE — native TIA catalog/configuration and accessory confirmation open</x:v>
      </x:c>
      <x:c r="P2" s="6" t="str">
        <x:v>=FC01+CP01-A100</x:v>
      </x:c>
    </x:row>
    <x:row r="3" ht="54" customHeight="1">
      <x:c r="A3" s="6" t="str">
        <x:v>-A101</x:v>
      </x:c>
      <x:c r="B3" s="6" t="str">
        <x:v>339</x:v>
      </x:c>
      <x:c r="C3" s="6" t="str">
        <x:v>550</x:v>
      </x:c>
      <x:c r="D3" s="6" t="str">
        <x:v>35</x:v>
      </x:c>
      <x:c r="E3" s="6" t="str">
        <x:v>147</x:v>
      </x:c>
      <x:c r="F3" s="6" t="str">
        <x:v>129</x:v>
      </x:c>
      <x:c r="G3" s="6" t="str">
        <x:v>DIN rail R1</x:v>
      </x:c>
      <x:c r="H3" s="6" t="str">
        <x:v>Vertical unless manufacturer requires otherwise</x:v>
      </x:c>
      <x:c r="I3" s="6" t="str">
        <x:v>PLC / control</x:v>
      </x:c>
      <x:c r="J3" s="6" t="str">
        <x:v>25</x:v>
      </x:c>
      <x:c r="K3" s="6" t="str">
        <x:v>25</x:v>
      </x:c>
      <x:c r="L3" s="6" t="str">
        <x:v>0</x:v>
      </x:c>
      <x:c r="M3" s="6" t="str">
        <x:v>TBD</x:v>
      </x:c>
      <x:c r="N3" s="6" t="str">
        <x:v>Official Siemens product data; simplified rectangular selected-device envelope</x:v>
      </x:c>
      <x:c r="O3" s="6" t="str">
        <x:v>SELECTED BASELINE — native TIA catalog/configuration and accessory confirmation open</x:v>
      </x:c>
      <x:c r="P3" s="6" t="str">
        <x:v>=FC01+CP01-A101</x:v>
      </x:c>
    </x:row>
    <x:row r="4" ht="54" customHeight="1">
      <x:c r="A4" s="6" t="str">
        <x:v>-A102</x:v>
      </x:c>
      <x:c r="B4" s="6" t="str">
        <x:v>378</x:v>
      </x:c>
      <x:c r="C4" s="6" t="str">
        <x:v>550</x:v>
      </x:c>
      <x:c r="D4" s="6" t="str">
        <x:v>35</x:v>
      </x:c>
      <x:c r="E4" s="6" t="str">
        <x:v>147</x:v>
      </x:c>
      <x:c r="F4" s="6" t="str">
        <x:v>129</x:v>
      </x:c>
      <x:c r="G4" s="6" t="str">
        <x:v>DIN rail R1</x:v>
      </x:c>
      <x:c r="H4" s="6" t="str">
        <x:v>Vertical unless manufacturer requires otherwise</x:v>
      </x:c>
      <x:c r="I4" s="6" t="str">
        <x:v>PLC / control</x:v>
      </x:c>
      <x:c r="J4" s="6" t="str">
        <x:v>25</x:v>
      </x:c>
      <x:c r="K4" s="6" t="str">
        <x:v>25</x:v>
      </x:c>
      <x:c r="L4" s="6" t="str">
        <x:v>0</x:v>
      </x:c>
      <x:c r="M4" s="6" t="str">
        <x:v>TBD</x:v>
      </x:c>
      <x:c r="N4" s="6" t="str">
        <x:v>Official Siemens product data; simplified rectangular selected-device envelope</x:v>
      </x:c>
      <x:c r="O4" s="6" t="str">
        <x:v>SELECTED BASELINE — native TIA catalog/configuration and accessory confirmation open</x:v>
      </x:c>
      <x:c r="P4" s="6" t="str">
        <x:v>=FC01+CP01-A102</x:v>
      </x:c>
    </x:row>
    <x:row r="5" ht="54" customHeight="1">
      <x:c r="A5" s="6" t="str">
        <x:v>-A103</x:v>
      </x:c>
      <x:c r="B5" s="6" t="str">
        <x:v>417</x:v>
      </x:c>
      <x:c r="C5" s="6" t="str">
        <x:v>550</x:v>
      </x:c>
      <x:c r="D5" s="6" t="str">
        <x:v>35</x:v>
      </x:c>
      <x:c r="E5" s="6" t="str">
        <x:v>147</x:v>
      </x:c>
      <x:c r="F5" s="6" t="str">
        <x:v>129</x:v>
      </x:c>
      <x:c r="G5" s="6" t="str">
        <x:v>DIN rail R1</x:v>
      </x:c>
      <x:c r="H5" s="6" t="str">
        <x:v>Vertical unless manufacturer requires otherwise</x:v>
      </x:c>
      <x:c r="I5" s="6" t="str">
        <x:v>PLC / control</x:v>
      </x:c>
      <x:c r="J5" s="6" t="str">
        <x:v>25</x:v>
      </x:c>
      <x:c r="K5" s="6" t="str">
        <x:v>25</x:v>
      </x:c>
      <x:c r="L5" s="6" t="str">
        <x:v>0</x:v>
      </x:c>
      <x:c r="M5" s="6" t="str">
        <x:v>TBD</x:v>
      </x:c>
      <x:c r="N5" s="6" t="str">
        <x:v>Official Siemens product data; simplified rectangular selected-device envelope</x:v>
      </x:c>
      <x:c r="O5" s="6" t="str">
        <x:v>SELECTED BASELINE — native TIA catalog/configuration and accessory confirmation open</x:v>
      </x:c>
      <x:c r="P5" s="6" t="str">
        <x:v>=FC01+CP01-A103</x:v>
      </x:c>
    </x:row>
    <x:row r="6" ht="54" customHeight="1">
      <x:c r="A6" s="6" t="str">
        <x:v>-A104</x:v>
      </x:c>
      <x:c r="B6" s="6" t="str">
        <x:v>456</x:v>
      </x:c>
      <x:c r="C6" s="6" t="str">
        <x:v>550</x:v>
      </x:c>
      <x:c r="D6" s="6" t="str">
        <x:v>35</x:v>
      </x:c>
      <x:c r="E6" s="6" t="str">
        <x:v>147</x:v>
      </x:c>
      <x:c r="F6" s="6" t="str">
        <x:v>129</x:v>
      </x:c>
      <x:c r="G6" s="6" t="str">
        <x:v>DIN rail R1</x:v>
      </x:c>
      <x:c r="H6" s="6" t="str">
        <x:v>Vertical unless manufacturer requires otherwise</x:v>
      </x:c>
      <x:c r="I6" s="6" t="str">
        <x:v>PLC / control</x:v>
      </x:c>
      <x:c r="J6" s="6" t="str">
        <x:v>25</x:v>
      </x:c>
      <x:c r="K6" s="6" t="str">
        <x:v>25</x:v>
      </x:c>
      <x:c r="L6" s="6" t="str">
        <x:v>0</x:v>
      </x:c>
      <x:c r="M6" s="6" t="str">
        <x:v>TBD</x:v>
      </x:c>
      <x:c r="N6" s="6" t="str">
        <x:v>Official Siemens product data; simplified rectangular selected-device envelope</x:v>
      </x:c>
      <x:c r="O6" s="6" t="str">
        <x:v>SELECTED BASELINE — native TIA catalog/configuration and accessory confirmation open</x:v>
      </x:c>
      <x:c r="P6" s="6" t="str">
        <x:v>=FC01+CP01-A104</x:v>
      </x:c>
    </x:row>
    <x:row r="7" ht="54" customHeight="1">
      <x:c r="A7" s="6" t="str">
        <x:v>-H100</x:v>
      </x:c>
      <x:c r="B7" s="6" t="str">
        <x:v>300.85</x:v>
      </x:c>
      <x:c r="C7" s="6" t="str">
        <x:v>329</x:v>
      </x:c>
      <x:c r="D7" s="6" t="str">
        <x:v>198.3</x:v>
      </x:c>
      <x:c r="E7" s="6" t="str">
        <x:v>142</x:v>
      </x:c>
      <x:c r="F7" s="6" t="str">
        <x:v>55.6</x:v>
      </x:c>
      <x:c r="G7" s="6" t="str">
        <x:v>Door cutout</x:v>
      </x:c>
      <x:c r="H7" s="6" t="str">
        <x:v>Vertical unless manufacturer requires otherwise</x:v>
      </x:c>
      <x:c r="I7" s="6" t="str">
        <x:v>HMI</x:v>
      </x:c>
      <x:c r="J7" s="6" t="str">
        <x:v>0</x:v>
      </x:c>
      <x:c r="K7" s="6" t="str">
        <x:v>0</x:v>
      </x:c>
      <x:c r="L7" s="6" t="str">
        <x:v>0</x:v>
      </x:c>
      <x:c r="M7" s="6" t="str">
        <x:v>TBD</x:v>
      </x:c>
      <x:c r="N7" s="6" t="str">
        <x:v>Official Siemens envelope/cutout: outer 214 x 158 x 63.6 mm; cutout 198.3 x 142 mm</x:v>
      </x:c>
      <x:c r="O7" s="6" t="str">
        <x:v>SELECTED BASELINE — native WinCC project/compile and door reinforcement open</x:v>
      </x:c>
      <x:c r="P7" s="6" t="str">
        <x:v>=FC01+CP01-H100</x:v>
      </x:c>
    </x:row>
    <x:row r="8" ht="54" customHeight="1">
      <x:c r="A8" s="6" t="str">
        <x:v>-U100</x:v>
      </x:c>
      <x:c r="B8" s="6" t="str">
        <x:v>80</x:v>
      </x:c>
      <x:c r="C8" s="6" t="str">
        <x:v>275</x:v>
      </x:c>
      <x:c r="D8" s="6" t="str">
        <x:v>73</x:v>
      </x:c>
      <x:c r="E8" s="6" t="str">
        <x:v>196</x:v>
      </x:c>
      <x:c r="F8" s="6" t="str">
        <x:v>225.4</x:v>
      </x:c>
      <x:c r="G8" s="6" t="str">
        <x:v>Direct mounting plate</x:v>
      </x:c>
      <x:c r="H8" s="6" t="str">
        <x:v>Vertical unless manufacturer requires otherwise</x:v>
      </x:c>
      <x:c r="I8" s="6" t="str">
        <x:v>Mains / drive heat</x:v>
      </x:c>
      <x:c r="J8" s="6" t="str">
        <x:v>80</x:v>
      </x:c>
      <x:c r="K8" s="6" t="str">
        <x:v>100</x:v>
      </x:c>
      <x:c r="L8" s="6" t="str">
        <x:v>0</x:v>
      </x:c>
      <x:c r="M8" s="6" t="str">
        <x:v>38.6</x:v>
      </x:c>
      <x:c r="N8" s="6" t="str">
        <x:v>Siemens order-number data sheet: 73 W x 196 H x 225.4 D mm; FSA PN</x:v>
      </x:c>
      <x:c r="O8" s="6" t="str">
        <x:v>SELECTED ENVELOPE; drive rating/duty and Startdrive configuration remain provisional</x:v>
      </x:c>
      <x:c r="P8" s="6" t="str">
        <x:v>=FC01+CP01-U100</x:v>
      </x:c>
    </x:row>
    <x:row r="9" ht="54" customHeight="1">
      <x:c r="A9" s="6" t="str">
        <x:v>-U101</x:v>
      </x:c>
      <x:c r="B9" s="6" t="str">
        <x:v>175</x:v>
      </x:c>
      <x:c r="C9" s="6" t="str">
        <x:v>275</x:v>
      </x:c>
      <x:c r="D9" s="6" t="str">
        <x:v>73</x:v>
      </x:c>
      <x:c r="E9" s="6" t="str">
        <x:v>196</x:v>
      </x:c>
      <x:c r="F9" s="6" t="str">
        <x:v>225.4</x:v>
      </x:c>
      <x:c r="G9" s="6" t="str">
        <x:v>Direct mounting plate</x:v>
      </x:c>
      <x:c r="H9" s="6" t="str">
        <x:v>Vertical unless manufacturer requires otherwise</x:v>
      </x:c>
      <x:c r="I9" s="6" t="str">
        <x:v>Mains / drive heat</x:v>
      </x:c>
      <x:c r="J9" s="6" t="str">
        <x:v>80</x:v>
      </x:c>
      <x:c r="K9" s="6" t="str">
        <x:v>100</x:v>
      </x:c>
      <x:c r="L9" s="6" t="str">
        <x:v>0</x:v>
      </x:c>
      <x:c r="M9" s="6" t="str">
        <x:v>38.6</x:v>
      </x:c>
      <x:c r="N9" s="6" t="str">
        <x:v>Siemens order-number data sheet: 73 W x 196 H x 225.4 D mm; FSA PN</x:v>
      </x:c>
      <x:c r="O9" s="6" t="str">
        <x:v>SELECTED ENVELOPE; drive rating/duty and Startdrive configuration remain provisional</x:v>
      </x:c>
      <x:c r="P9" s="6" t="str">
        <x:v>=FC01+CP01-U101</x:v>
      </x:c>
    </x:row>
    <x:row r="10" ht="54" customHeight="1">
      <x:c r="A10" s="6" t="str">
        <x:v>-SW100</x:v>
      </x:c>
      <x:c r="B10" s="6" t="str">
        <x:v>505</x:v>
      </x:c>
      <x:c r="C10" s="6" t="str">
        <x:v>550</x:v>
      </x:c>
      <x:c r="D10" s="6" t="str">
        <x:v>60</x:v>
      </x:c>
      <x:c r="E10" s="6" t="str">
        <x:v>147</x:v>
      </x:c>
      <x:c r="F10" s="6" t="str">
        <x:v>125</x:v>
      </x:c>
      <x:c r="G10" s="6" t="str">
        <x:v>DIN rail R1</x:v>
      </x:c>
      <x:c r="H10" s="6" t="str">
        <x:v>Vertical unless manufacturer requires otherwise</x:v>
      </x:c>
      <x:c r="I10" s="6" t="str">
        <x:v>Network</x:v>
      </x:c>
      <x:c r="J10" s="6" t="str">
        <x:v>25</x:v>
      </x:c>
      <x:c r="K10" s="6" t="str">
        <x:v>25</x:v>
      </x:c>
      <x:c r="L10" s="6" t="str">
        <x:v>5</x:v>
      </x:c>
      <x:c r="M10" s="6" t="str">
        <x:v>TBD</x:v>
      </x:c>
      <x:c r="N10" s="6" t="str">
        <x:v>Official Siemens technical data; controlled 5 mm lateral layout-clearance assumption; confirm against order-number installation data</x:v>
      </x:c>
      <x:c r="O10" s="6" t="str">
        <x:v>SELECTED NETWORK BASELINE — native configuration and site policy open</x:v>
      </x:c>
      <x:c r="P10" s="6" t="str">
        <x:v>=FC01+CP01-SW100</x:v>
      </x:c>
    </x:row>
    <x:row r="11" ht="54" customHeight="1">
      <x:c r="A11" s="6" t="str">
        <x:v>-FW100</x:v>
      </x:c>
      <x:c r="B11" s="6" t="str">
        <x:v>575</x:v>
      </x:c>
      <x:c r="C11" s="6" t="str">
        <x:v>550</x:v>
      </x:c>
      <x:c r="D11" s="6" t="str">
        <x:v>35</x:v>
      </x:c>
      <x:c r="E11" s="6" t="str">
        <x:v>147</x:v>
      </x:c>
      <x:c r="F11" s="6" t="str">
        <x:v>127</x:v>
      </x:c>
      <x:c r="G11" s="6" t="str">
        <x:v>DIN rail R1</x:v>
      </x:c>
      <x:c r="H11" s="6" t="str">
        <x:v>Vertical unless manufacturer requires otherwise</x:v>
      </x:c>
      <x:c r="I11" s="6" t="str">
        <x:v>Network</x:v>
      </x:c>
      <x:c r="J11" s="6" t="str">
        <x:v>25</x:v>
      </x:c>
      <x:c r="K11" s="6" t="str">
        <x:v>25</x:v>
      </x:c>
      <x:c r="L11" s="6" t="str">
        <x:v>5</x:v>
      </x:c>
      <x:c r="M11" s="6" t="str">
        <x:v>TBD</x:v>
      </x:c>
      <x:c r="N11" s="6" t="str">
        <x:v>Siemens S615/S615 EEC operating instructions; variant CAx confirmation open; controlled 5 mm lateral layout-clearance assumption; confirm against order-number installation data</x:v>
      </x:c>
      <x:c r="O11" s="6" t="str">
        <x:v>SELECTED NETWORK BASELINE — native configuration and site policy open</x:v>
      </x:c>
      <x:c r="P11" s="6" t="str">
        <x:v>=FC01+CP01-FW100</x:v>
      </x:c>
    </x:row>
    <x:row r="12" ht="54" customHeight="1">
      <x:c r="A12" s="6" t="str">
        <x:v>-PC200</x:v>
      </x:c>
      <x:c r="B12" s="6" t="str">
        <x:v>620</x:v>
      </x:c>
      <x:c r="C12" s="6" t="str">
        <x:v>540</x:v>
      </x:c>
      <x:c r="D12" s="6" t="str">
        <x:v>115</x:v>
      </x:c>
      <x:c r="E12" s="6" t="str">
        <x:v>165</x:v>
      </x:c>
      <x:c r="F12" s="6" t="str">
        <x:v>80</x:v>
      </x:c>
      <x:c r="G12" s="6" t="str">
        <x:v>DIN rail / shelf</x:v>
      </x:c>
      <x:c r="H12" s="6" t="str">
        <x:v>Vertical unless manufacturer requires otherwise</x:v>
      </x:c>
      <x:c r="I12" s="6" t="str">
        <x:v>Vision edge</x:v>
      </x:c>
      <x:c r="J12" s="6" t="str">
        <x:v>25</x:v>
      </x:c>
      <x:c r="K12" s="6" t="str">
        <x:v>25</x:v>
      </x:c>
      <x:c r="L12" s="6" t="str">
        <x:v>5</x:v>
      </x:c>
      <x:c r="M12" s="6" t="str">
        <x:v>TBD</x:v>
      </x:c>
      <x:c r="N12" s="6" t="str">
        <x:v>CONTROLLED ARCHITECTURE-ONLY ENVELOPE ASSUMPTION — carrier, cooling kit and interfaces not selected</x:v>
      </x:c>
      <x:c r="O12" s="6" t="str">
        <x:v>TBD — NOT PROCUREMENT OR CONSTRUCTION DATA; confirm industrial carrier, thermal solution, EMC and lifecycle</x:v>
      </x:c>
      <x:c r="P12" s="6" t="str">
        <x:v>=FC01+CP01-PC200</x:v>
      </x:c>
    </x:row>
    <x:row r="13" ht="54" customHeight="1">
      <x:c r="A13" s="6" t="str">
        <x:v>-PE100</x:v>
      </x:c>
      <x:c r="B13" s="6" t="str">
        <x:v>80</x:v>
      </x:c>
      <x:c r="C13" s="6" t="str">
        <x:v>45</x:v>
      </x:c>
      <x:c r="D13" s="6" t="str">
        <x:v>640</x:v>
      </x:c>
      <x:c r="E13" s="6" t="str">
        <x:v>15</x:v>
      </x:c>
      <x:c r="F13" s="6" t="str">
        <x:v>15</x:v>
      </x:c>
      <x:c r="G13" s="6" t="str">
        <x:v>Mounting plate</x:v>
      </x:c>
      <x:c r="H13" s="6" t="str">
        <x:v>Horizontal</x:v>
      </x:c>
      <x:c r="I13" s="6" t="str">
        <x:v>PE</x:v>
      </x:c>
      <x:c r="J13" s="6" t="str">
        <x:v>0</x:v>
      </x:c>
      <x:c r="K13" s="6" t="str">
        <x:v>0</x:v>
      </x:c>
      <x:c r="L13" s="6" t="str">
        <x:v>0</x:v>
      </x:c>
      <x:c r="M13" s="6" t="str">
        <x:v>TBD</x:v>
      </x:c>
      <x:c r="N13" s="6" t="str">
        <x:v>Controlled provisional bar envelope; section and fixing hardware open</x:v>
      </x:c>
      <x:c r="O13" s="6" t="str">
        <x:v>TBD — PE sizing, bonding points and fault-current basis required</x:v>
      </x:c>
      <x:c r="P13" s="6" t="str">
        <x:v>=FC01+CP01-PE100</x:v>
      </x:c>
    </x:row>
    <x:row r="14" ht="54" customHeight="1">
      <x:c r="A14" s="6" t="str">
        <x:v>-X100..-X199</x:v>
      </x:c>
      <x:c r="B14" s="6" t="str">
        <x:v>80</x:v>
      </x:c>
      <x:c r="C14" s="6" t="str">
        <x:v>90</x:v>
      </x:c>
      <x:c r="D14" s="6" t="str">
        <x:v>655</x:v>
      </x:c>
      <x:c r="E14" s="6" t="str">
        <x:v>50</x:v>
      </x:c>
      <x:c r="F14" s="6" t="str">
        <x:v>50</x:v>
      </x:c>
      <x:c r="G14" s="6" t="str">
        <x:v>DIN rail R4</x:v>
      </x:c>
      <x:c r="H14" s="6" t="str">
        <x:v>Horizontal terminal row</x:v>
      </x:c>
      <x:c r="I14" s="6" t="str">
        <x:v>Field termination</x:v>
      </x:c>
      <x:c r="J14" s="6" t="str">
        <x:v>0</x:v>
      </x:c>
      <x:c r="K14" s="6" t="str">
        <x:v>0</x:v>
      </x:c>
      <x:c r="L14" s="6" t="str">
        <x:v>0</x:v>
      </x:c>
      <x:c r="M14" s="6" t="str">
        <x:v>0</x:v>
      </x:c>
      <x:c r="N14" s="6" t="str">
        <x:v>Revision-E native schedule: 84 logical terminals plus controlled PE/shield terminal objects</x:v>
      </x:c>
      <x:c r="O14" s="6" t="str">
        <x:v>NATIVE GEOMETRY VERIFIED; terminal family, bridges, accessories and construction release remain open</x:v>
      </x:c>
      <x:c r="P14" s="6" t="str">
        <x:v>=FC01+CP01-X100..-X199</x:v>
      </x:c>
    </x:row>
    <x:row r="15" ht="54" customHeight="1">
      <x:c r="A15" s="6" t="str">
        <x:v>-WD100</x:v>
      </x:c>
      <x:c r="B15" s="6" t="str">
        <x:v>45</x:v>
      </x:c>
      <x:c r="C15" s="6" t="str">
        <x:v>175</x:v>
      </x:c>
      <x:c r="D15" s="6" t="str">
        <x:v>25</x:v>
      </x:c>
      <x:c r="E15" s="6" t="str">
        <x:v>545</x:v>
      </x:c>
      <x:c r="F15" s="6" t="str">
        <x:v>55</x:v>
      </x:c>
      <x:c r="G15" s="6" t="str">
        <x:v>Mounting plate</x:v>
      </x:c>
      <x:c r="H15" s="6" t="str">
        <x:v>Vertical duct</x:v>
      </x:c>
      <x:c r="I15" s="6" t="str">
        <x:v>Routing</x:v>
      </x:c>
      <x:c r="J15" s="6" t="str">
        <x:v>0</x:v>
      </x:c>
      <x:c r="K15" s="6" t="str">
        <x:v>0</x:v>
      </x:c>
      <x:c r="L15" s="6" t="str">
        <x:v>0</x:v>
      </x:c>
      <x:c r="M15" s="6" t="str">
        <x:v>TBD</x:v>
      </x:c>
      <x:c r="N15" s="6" t="str">
        <x:v>Controlled routing envelope; duct family and fill calculation open</x:v>
      </x:c>
      <x:c r="O15" s="6" t="str">
        <x:v>PROVISIONAL — VERIFY DUCT FILL, bend radius, conductor count and EMC separation</x:v>
      </x:c>
      <x:c r="P15" s="6" t="str">
        <x:v>=FC01+CP01-WD100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0.630000114440918" hidden="0" customWidth="1"/>
    <x:col min="7" max="7" width="33.75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  <x:c r="E1" s="12" t="str">
        <x:v>design_artifact</x:v>
      </x:c>
      <x:c r="F1" s="12" t="str">
        <x:v>test_ids</x:v>
      </x:c>
      <x:c r="G1" s="12" t="str">
        <x:v>evidence</x:v>
      </x:c>
    </x:row>
    <x:row r="2" ht="54" customHeight="1">
      <x:c r="A2" s="6" t="str">
        <x:v>SYS-001</x:v>
      </x:c>
      <x:c r="B2" s="6" t="str">
        <x:v>Receive and index exactly two bottles</x:v>
      </x:c>
      <x:c r="C2" s="6" t="str">
        <x:v>Review + deterministic simulation where applicable</x:v>
      </x:c>
      <x:c r="D2" s="6" t="str">
        <x:v>Implemented in reviewable sources; native Siemens verification blocked</x:v>
      </x:c>
      <x:c r="E2" s="6" t="str">
        <x:v>04_controls_siemens/scl/FB_MachineCoordinator.scl</x:v>
      </x:c>
      <x:c r="F2" s="6" t="str">
        <x:v>TC-001; TC-002; TC-003</x:v>
      </x:c>
      <x:c r="G2" s="6" t="str">
        <x:v>normal and missing-bottle traces</x:v>
      </x:c>
    </x:row>
    <x:row r="3" ht="54" customHeight="1">
      <x:c r="A3" s="6" t="str">
        <x:v>SYS-002</x:v>
      </x:c>
      <x:c r="B3" s="6" t="str">
        <x:v>Confirm both bottle positions before filling</x:v>
      </x:c>
      <x:c r="C3" s="6" t="str">
        <x:v>Review + deterministic simulation where applicable</x:v>
      </x:c>
      <x:c r="D3" s="6" t="str">
        <x:v>Implemented in reviewable sources; native Siemens verification blocked</x:v>
      </x:c>
      <x:c r="E3" s="6" t="str">
        <x:v>04_controls_siemens/scl/FB_MachineCoordinator.scl</x:v>
      </x:c>
      <x:c r="F3" s="6" t="str">
        <x:v>TC-002; TC-003; TC-004; TC-005</x:v>
      </x:c>
      <x:c r="G3" s="6" t="str">
        <x:v>bottle-sensor fault traces</x:v>
      </x:c>
    </x:row>
    <x:row r="4" ht="54" customHeight="1">
      <x:c r="A4" s="6" t="str">
        <x:v>SYS-003</x:v>
      </x:c>
      <x:c r="B4" s="6" t="str">
        <x:v>Stop conveyor before clamp engagement</x:v>
      </x:c>
      <x:c r="C4" s="6" t="str">
        <x:v>Review + deterministic simulation where applicable</x:v>
      </x:c>
      <x:c r="D4" s="6" t="str">
        <x:v>Implemented in reviewable sources; native Siemens verification blocked</x:v>
      </x:c>
      <x:c r="E4" s="6" t="str">
        <x:v>04_controls_siemens/scl/FB_MachineCoordinator.scl</x:v>
      </x:c>
      <x:c r="F4" s="6" t="str">
        <x:v>TC-001; TC-015</x:v>
      </x:c>
      <x:c r="G4" s="6" t="str">
        <x:v>normal and conveyor-fault traces</x:v>
      </x:c>
    </x:row>
    <x:row r="5" ht="54" customHeight="1">
      <x:c r="A5" s="6" t="str">
        <x:v>SYS-004</x:v>
      </x:c>
      <x:c r="B5" s="6" t="str">
        <x:v>Confirm gate and clamp feedback without contradiction</x:v>
      </x:c>
      <x:c r="C5" s="6" t="str">
        <x:v>Review + deterministic simulation where applicable</x:v>
      </x:c>
      <x:c r="D5" s="6" t="str">
        <x:v>Implemented in reviewable sources; native Siemens verification blocked</x:v>
      </x:c>
      <x:c r="E5" s="6" t="str">
        <x:v>04_controls_siemens/scl/FB_Actuator2Pos.scl</x:v>
      </x:c>
      <x:c r="F5" s="6" t="str">
        <x:v>TC-006; TC-007; TC-008</x:v>
      </x:c>
      <x:c r="G5" s="6" t="str">
        <x:v>actuator timeout/contradiction traces</x:v>
      </x:c>
    </x:row>
    <x:row r="6" ht="54" customHeight="1">
      <x:c r="A6" s="6" t="str">
        <x:v>SYS-005</x:v>
      </x:c>
      <x:c r="B6" s="6" t="str">
        <x:v>Zero and accumulate two independent high-speed pulse totals</x:v>
      </x:c>
      <x:c r="C6" s="6" t="str">
        <x:v>Review + deterministic simulation where applicable</x:v>
      </x:c>
      <x:c r="D6" s="6" t="str">
        <x:v>Implemented in reviewable sources; native Siemens verification blocked</x:v>
      </x:c>
      <x:c r="E6" s="6" t="str">
        <x:v>04_controls_siemens/scl/FB_FillChannel.scl; 04_controls_siemens/scl/DB_Global.scl</x:v>
      </x:c>
      <x:c r="F6" s="6" t="str">
        <x:v>TC-009; TC-010</x:v>
      </x:c>
      <x:c r="G6" s="6" t="str">
        <x:v>no-pulse and pulse/analog traces; native TM Count binding remains open</x:v>
      </x:c>
    </x:row>
    <x:row r="7" ht="54" customHeight="1">
      <x:c r="A7" s="6" t="str">
        <x:v>SYS-006</x:v>
      </x:c>
      <x:c r="B7" s="6" t="str">
        <x:v>Start common pump only with both fill paths permissive</x:v>
      </x:c>
      <x:c r="C7" s="6" t="str">
        <x:v>Review + deterministic simulation where applicable</x:v>
      </x:c>
      <x:c r="D7" s="6" t="str">
        <x:v>Implemented in reviewable sources; native Siemens verification blocked</x:v>
      </x:c>
      <x:c r="E7" s="6" t="str">
        <x:v>04_controls_siemens/scl/FB_CellMain.scl</x:v>
      </x:c>
      <x:c r="F7" s="6" t="str">
        <x:v>TC-014; TC-016; TC-017</x:v>
      </x:c>
      <x:c r="G7" s="6" t="str">
        <x:v>pump/utilities fault traces</x:v>
      </x:c>
    </x:row>
    <x:row r="8" ht="54" customHeight="1">
      <x:c r="A8" s="6" t="str">
        <x:v>SYS-007</x:v>
      </x:c>
      <x:c r="B8" s="6" t="str">
        <x:v>Close each fail-closed valve independently at target</x:v>
      </x:c>
      <x:c r="C8" s="6" t="str">
        <x:v>Review + deterministic simulation where applicable</x:v>
      </x:c>
      <x:c r="D8" s="6" t="str">
        <x:v>Implemented in reviewable sources; native Siemens verification blocked</x:v>
      </x:c>
      <x:c r="E8" s="6" t="str">
        <x:v>04_controls_siemens/scl/FB_FillChannel.scl</x:v>
      </x:c>
      <x:c r="F8" s="6" t="str">
        <x:v>TC-001; TC-012; TC-013</x:v>
      </x:c>
      <x:c r="G8" s="6" t="str">
        <x:v>normal, overfill and valve-close traces</x:v>
      </x:c>
    </x:row>
    <x:row r="9" ht="54" customHeight="1">
      <x:c r="A9" s="6" t="str">
        <x:v>SYS-008</x:v>
      </x:c>
      <x:c r="B9" s="6" t="str">
        <x:v>Scale and diagnose two 4–20 mA flow channels</x:v>
      </x:c>
      <x:c r="C9" s="6" t="str">
        <x:v>Review + deterministic simulation where applicable</x:v>
      </x:c>
      <x:c r="D9" s="6" t="str">
        <x:v>Implemented in reviewable sources; native Siemens verification blocked</x:v>
      </x:c>
      <x:c r="E9" s="6" t="str">
        <x:v>04_controls_siemens/scl/FB_FillChannel.scl; 10_schedules/plc_io.csv</x:v>
      </x:c>
      <x:c r="F9" s="6" t="str">
        <x:v>TC-010</x:v>
      </x:c>
      <x:c r="G9" s="6" t="str">
        <x:v>pulse/analog disagreement trace; native AI diagnostics remain open</x:v>
      </x:c>
    </x:row>
    <x:row r="10" ht="54" customHeight="1">
      <x:c r="A10" s="6" t="str">
        <x:v>SYS-009</x:v>
      </x:c>
      <x:c r="B10" s="6" t="str">
        <x:v>Detect no-flow, leakage, overfill, underfill and channel disagreement</x:v>
      </x:c>
      <x:c r="C10" s="6" t="str">
        <x:v>Review + deterministic simulation where applicable</x:v>
      </x:c>
      <x:c r="D10" s="6" t="str">
        <x:v>Implemented in reviewable sources; native Siemens verification blocked</x:v>
      </x:c>
      <x:c r="E10" s="6" t="str">
        <x:v>04_controls_siemens/scl/FB_FillChannel.scl</x:v>
      </x:c>
      <x:c r="F10" s="6" t="str">
        <x:v>TC-009; TC-010; TC-011; TC-012; TC-013</x:v>
      </x:c>
      <x:c r="G10" s="6" t="str">
        <x:v>five fill-fault traces</x:v>
      </x:c>
    </x:row>
    <x:row r="11" ht="54" customHeight="1">
      <x:c r="A11" s="6" t="str">
        <x:v>SYS-010</x:v>
      </x:c>
      <x:c r="B11" s="6" t="str">
        <x:v>Apply configurable drip-settle time</x:v>
      </x:c>
      <x:c r="C11" s="6" t="str">
        <x:v>Review + deterministic simulation where applicable</x:v>
      </x:c>
      <x:c r="D11" s="6" t="str">
        <x:v>Implemented in reviewable sources; native Siemens verification blocked</x:v>
      </x:c>
      <x:c r="E11" s="6" t="str">
        <x:v>04_controls_siemens/scl/FB_CellMain.scl; 04_controls_siemens/scl/FB_RecipeManager.scl</x:v>
      </x:c>
      <x:c r="F11" s="6" t="str">
        <x:v>TC-001</x:v>
      </x:c>
      <x:c r="G11" s="6" t="str">
        <x:v>normal trace includes drip-settle state</x:v>
      </x:c>
    </x:row>
    <x:row r="12" ht="54" customHeight="1">
      <x:c r="A12" s="6" t="str">
        <x:v>SYS-011</x:v>
      </x:c>
      <x:c r="B12" s="6" t="str">
        <x:v>Trigger vision using a monotonic inspection ID</x:v>
      </x:c>
      <x:c r="C12" s="6" t="str">
        <x:v>Review + deterministic simulation where applicable</x:v>
      </x:c>
      <x:c r="D12" s="6" t="str">
        <x:v>Implemented in reviewable sources; native Siemens verification blocked</x:v>
      </x:c>
      <x:c r="E12" s="6" t="str">
        <x:v>04_controls_siemens/scl/FB_VisionInterface.scl</x:v>
      </x:c>
      <x:c r="F12" s="6" t="str">
        <x:v>TC-001; TC-024</x:v>
      </x:c>
      <x:c r="G12" s="6" t="str">
        <x:v>normal and stale-ID traces</x:v>
      </x:c>
    </x:row>
    <x:row r="13" ht="54" customHeight="1">
      <x:c r="A13" s="6" t="str">
        <x:v>SYS-012</x:v>
      </x:c>
      <x:c r="B13" s="6" t="str">
        <x:v>Correlate result ID and reject stale or contradictory results</x:v>
      </x:c>
      <x:c r="C13" s="6" t="str">
        <x:v>Review + deterministic simulation where applicable</x:v>
      </x:c>
      <x:c r="D13" s="6" t="str">
        <x:v>Implemented in reviewable sources; native Siemens verification blocked</x:v>
      </x:c>
      <x:c r="E13" s="6" t="str">
        <x:v>04_controls_siemens/scl/FB_VisionInterface.scl</x:v>
      </x:c>
      <x:c r="F13" s="6" t="str">
        <x:v>TC-023; TC-024</x:v>
      </x:c>
      <x:c r="G13" s="6" t="str">
        <x:v>vision timeout and stale-ID traces</x:v>
      </x:c>
    </x:row>
    <x:row r="14" ht="54" customHeight="1">
      <x:c r="A14" s="6" t="str">
        <x:v>SYS-013</x:v>
      </x:c>
      <x:c r="B14" s="6" t="str">
        <x:v>Hold product on missing, uncertain, failed or low-confidence vision result</x:v>
      </x:c>
      <x:c r="C14" s="6" t="str">
        <x:v>Review + deterministic simulation where applicable</x:v>
      </x:c>
      <x:c r="D14" s="6" t="str">
        <x:v>Implemented in reviewable sources; native Siemens verification blocked</x:v>
      </x:c>
      <x:c r="E14" s="6" t="str">
        <x:v>04_controls_siemens/scl/FB_VisionInterface.scl</x:v>
      </x:c>
      <x:c r="F14" s="6" t="str">
        <x:v>TC-022; TC-023; TC-025; TC-026; TC-027</x:v>
      </x:c>
      <x:c r="G14" s="6" t="str">
        <x:v>vision uncertainty/failure traces</x:v>
      </x:c>
    </x:row>
    <x:row r="15" ht="54" customHeight="1">
      <x:c r="A15" s="6" t="str">
        <x:v>SYS-014</x:v>
      </x:c>
      <x:c r="B15" s="6" t="str">
        <x:v>Transfer only when process and quality acceptance are both true</x:v>
      </x:c>
      <x:c r="C15" s="6" t="str">
        <x:v>Review + deterministic simulation where applicable</x:v>
      </x:c>
      <x:c r="D15" s="6" t="str">
        <x:v>Implemented in reviewable sources; native Siemens verification blocked</x:v>
      </x:c>
      <x:c r="E15" s="6" t="str">
        <x:v>04_controls_siemens/scl/FB_MachineCoordinator.scl</x:v>
      </x:c>
      <x:c r="F15" s="6" t="str">
        <x:v>TC-001; TC-022; TC-025; TC-026</x:v>
      </x:c>
      <x:c r="G15" s="6" t="str">
        <x:v>normal release and quality-hold traces</x:v>
      </x:c>
    </x:row>
    <x:row r="16" ht="54" customHeight="1">
      <x:c r="A16" s="6" t="str">
        <x:v>SYS-015</x:v>
      </x:c>
      <x:c r="B16" s="6" t="str">
        <x:v>Exchange ready, busy, request, complete and fault with capper</x:v>
      </x:c>
      <x:c r="C16" s="6" t="str">
        <x:v>Review + deterministic simulation where applicable</x:v>
      </x:c>
      <x:c r="D16" s="6" t="str">
        <x:v>Implemented in reviewable sources; native Siemens verification blocked</x:v>
      </x:c>
      <x:c r="E16" s="6" t="str">
        <x:v>04_controls_siemens/scl/FB_CapperInterface.scl</x:v>
      </x:c>
      <x:c r="F16" s="6" t="str">
        <x:v>TC-018; TC-019; TC-020</x:v>
      </x:c>
      <x:c r="G16" s="6" t="str">
        <x:v>capper not-ready/busy/fault traces</x:v>
      </x:c>
    </x:row>
    <x:row r="17" ht="54" customHeight="1">
      <x:c r="A17" s="6" t="str">
        <x:v>SYS-016</x:v>
      </x:c>
      <x:c r="B17" s="6" t="str">
        <x:v>Prevent unintended restart following power or control recovery</x:v>
      </x:c>
      <x:c r="C17" s="6" t="str">
        <x:v>Review + deterministic simulation where applicable</x:v>
      </x:c>
      <x:c r="D17" s="6" t="str">
        <x:v>Implemented in reviewable sources; native Siemens verification blocked</x:v>
      </x:c>
      <x:c r="E17" s="6" t="str">
        <x:v>04_controls_siemens/scl/OB100_Startup.scl; 04_controls_siemens/scl/FB_MachineCoordinator.scl</x:v>
      </x:c>
      <x:c r="F17" s="6" t="str">
        <x:v>TC-029; TC-030; TC-031</x:v>
      </x:c>
      <x:c r="G17" s="6" t="str">
        <x:v>power-loss/restoration/reset traces</x:v>
      </x:c>
    </x:row>
    <x:row r="18" ht="54" customHeight="1">
      <x:c r="A18" s="6" t="str">
        <x:v>SYS-017</x:v>
      </x:c>
      <x:c r="B18" s="6" t="str">
        <x:v>Provide Auto, Manual/Setup, Holding, Controlled Stop, Fault and Recovery states</x:v>
      </x:c>
      <x:c r="C18" s="6" t="str">
        <x:v>Review + deterministic simulation where applicable</x:v>
      </x:c>
      <x:c r="D18" s="6" t="str">
        <x:v>Implemented in reviewable sources; native Siemens verification blocked</x:v>
      </x:c>
      <x:c r="E18" s="6" t="str">
        <x:v>04_controls_siemens/scl/00_types.scl; 04_controls_siemens/scl/FB_MachineCoordinator.scl</x:v>
      </x:c>
      <x:c r="F18" s="6" t="str">
        <x:v>TC-001; TC-031; TC-032</x:v>
      </x:c>
      <x:c r="G18" s="6" t="str">
        <x:v>normal/recovery/manual traces</x:v>
      </x:c>
    </x:row>
    <x:row r="19" ht="54" customHeight="1">
      <x:c r="A19" s="6" t="str">
        <x:v>SYS-018</x:v>
      </x:c>
      <x:c r="B19" s="6" t="str">
        <x:v>Separate commands, feedbacks, permissives, interlocks, faults, warnings and diagnostics</x:v>
      </x:c>
      <x:c r="C19" s="6" t="str">
        <x:v>Review + deterministic simulation where applicable</x:v>
      </x:c>
      <x:c r="D19" s="6" t="str">
        <x:v>Implemented in reviewable sources; native Siemens verification blocked</x:v>
      </x:c>
      <x:c r="E19" s="6" t="str">
        <x:v>04_controls_siemens/scl/00_types.scl; 04_controls_siemens/scl/FB_CellMain.scl</x:v>
      </x:c>
      <x:c r="F19" s="6" t="str">
        <x:v>VAL-D-STATIC</x:v>
      </x:c>
      <x:c r="G19" s="6" t="str">
        <x:v>automated_validation_report.md source/data checks</x:v>
      </x:c>
    </x:row>
    <x:row r="20" ht="54" customHeight="1">
      <x:c r="A20" s="6" t="str">
        <x:v>SYS-019</x:v>
      </x:c>
      <x:c r="B20" s="6" t="str">
        <x:v>Monitor external safety status only; standard PLC and AI are not safety functions</x:v>
      </x:c>
      <x:c r="C20" s="6" t="str">
        <x:v>Review + deterministic simulation where applicable</x:v>
      </x:c>
      <x:c r="D20" s="6" t="str">
        <x:v>Implemented in reviewable sources; native Siemens verification blocked</x:v>
      </x:c>
      <x:c r="E20" s="6" t="str">
        <x:v>04_controls_siemens/scl/FB_CellMain.scl; 00_project_control/design_basis.md</x:v>
      </x:c>
      <x:c r="F20" s="6" t="str">
        <x:v>TC-029; SAFETY-OPEN</x:v>
      </x:c>
      <x:c r="G20" s="6" t="str">
        <x:v>power-loss trace; qualified safety validation remains blocked</x:v>
      </x:c>
    </x:row>
    <x:row r="21" ht="54" customHeight="1">
      <x:c r="A21" s="6" t="str">
        <x:v>SYS-020</x:v>
      </x:c>
      <x:c r="B21" s="6" t="str">
        <x:v>Provide first-out fault capture and separate alarm acknowledgement from reset</x:v>
      </x:c>
      <x:c r="C21" s="6" t="str">
        <x:v>Review + deterministic simulation where applicable</x:v>
      </x:c>
      <x:c r="D21" s="6" t="str">
        <x:v>Implemented in reviewable sources; native Siemens verification blocked</x:v>
      </x:c>
      <x:c r="E21" s="6" t="str">
        <x:v>04_controls_siemens/scl/FB_AlarmManager.scl; 10_schedules/alarms.csv</x:v>
      </x:c>
      <x:c r="F21" s="6" t="str">
        <x:v>TC-006; TC-009; TC-014; TC-020</x:v>
      </x:c>
      <x:c r="G21" s="6" t="str">
        <x:v>first-out fault traces across equipment classes</x:v>
      </x:c>
    </x:row>
    <x:row r="22" ht="54" customHeight="1">
      <x:c r="A22" s="6" t="str">
        <x:v>SYS-021</x:v>
      </x:c>
      <x:c r="B22" s="6" t="str">
        <x:v>Provide permission-controlled HMI commands with feedback and disabled reason</x:v>
      </x:c>
      <x:c r="C22" s="6" t="str">
        <x:v>Review + deterministic simulation where applicable</x:v>
      </x:c>
      <x:c r="D22" s="6" t="str">
        <x:v>Implemented in reviewable sources; native Siemens verification blocked</x:v>
      </x:c>
      <x:c r="E22" s="6" t="str">
        <x:v>04_controls_siemens/scl/FB_HMICommandManager.scl; 05_hmi/hmi_specification.md</x:v>
      </x:c>
      <x:c r="F22" s="6" t="str">
        <x:v>TC-021; TC-032</x:v>
      </x:c>
      <x:c r="G22" s="6" t="str">
        <x:v>HMI-loss and manual-interlock traces</x:v>
      </x:c>
    </x:row>
    <x:row r="23" ht="54" customHeight="1">
      <x:c r="A23" s="6" t="str">
        <x:v>SYS-022</x:v>
      </x:c>
      <x:c r="B23" s="6" t="str">
        <x:v>Provide deterministic simulator and fault-injection regression suite</x:v>
      </x:c>
      <x:c r="C23" s="6" t="str">
        <x:v>Review + deterministic simulation where applicable</x:v>
      </x:c>
      <x:c r="D23" s="6" t="str">
        <x:v>Implemented in reviewable sources; native Siemens verification blocked</x:v>
      </x:c>
      <x:c r="E23" s="6" t="str">
        <x:v>11_simulation/filling_cell_simulator.py; 11_simulation/tests</x:v>
      </x:c>
      <x:c r="F23" s="6" t="str">
        <x:v>TC-001..TC-032</x:v>
      </x:c>
      <x:c r="G23" s="6" t="str">
        <x:v>32 deterministic scenarios plus 88 source/simulator/native-contract tests, 59 edge-service tests and 15 interface-harness tests; see the executed report</x:v>
      </x:c>
    </x:row>
    <x:row r="24" ht="54" customHeight="1">
      <x:c r="A24" s="6" t="str">
        <x:v>SYS-023</x:v>
      </x:c>
      <x:c r="B24" s="6" t="str">
        <x:v>Maintain canonical tags across I/O, HMI, electrical, AI and tests</x:v>
      </x:c>
      <x:c r="C24" s="6" t="str">
        <x:v>Review + deterministic simulation where applicable</x:v>
      </x:c>
      <x:c r="D24" s="6" t="str">
        <x:v>Implemented in reviewable sources; native Siemens verification blocked</x:v>
      </x:c>
      <x:c r="E24" s="6" t="str">
        <x:v>00_project_control/canonical_model.json; scripts/validate_project.py</x:v>
      </x:c>
      <x:c r="F24" s="6" t="str">
        <x:v>VAL-D-STATIC</x:v>
      </x:c>
      <x:c r="G24" s="6" t="str">
        <x:v>Revision-E canonical/source/schedule/native-evidence validator; the executed report records the exact current check count</x:v>
      </x:c>
    </x:row>
    <x:row r="25" ht="54" customHeight="1">
      <x:c r="A25" s="6" t="str">
        <x:v>SYS-024</x:v>
      </x:c>
      <x:c r="B25" s="6" t="str">
        <x:v>Provide backup, restore and release-manifest procedure</x:v>
      </x:c>
      <x:c r="C25" s="6" t="str">
        <x:v>Review + deterministic simulation where applicable</x:v>
      </x:c>
      <x:c r="D25" s="6" t="str">
        <x:v>Implemented in reviewable sources; native Siemens verification blocked</x:v>
      </x:c>
      <x:c r="E25" s="6" t="str">
        <x:v>13_documentation/backup_restore.md; scripts/build_manifest.py; scripts/verify_manifest.py</x:v>
      </x:c>
      <x:c r="F25" s="6" t="str">
        <x:v>PROC-RESTORE-OPEN; MANIFEST-VERIFY-001</x:v>
      </x:c>
      <x:c r="G25" s="6" t="str">
        <x:v>restore execution remains open; final deterministic manifest verification required</x:v>
      </x:c>
    </x:row>
    <x:row r="26" ht="54" customHeight="1">
      <x:c r="A26" s="6" t="str">
        <x:v>SYS-025</x:v>
      </x:c>
      <x:c r="B26" s="6" t="str">
        <x:v>No physical reject device is included; operator disposition is required</x:v>
      </x:c>
      <x:c r="C26" s="6" t="str">
        <x:v>Review + deterministic simulation where applicable</x:v>
      </x:c>
      <x:c r="D26" s="6" t="str">
        <x:v>Implemented in reviewable sources; native Siemens verification blocked</x:v>
      </x:c>
      <x:c r="E26" s="6" t="str">
        <x:v>04_controls_siemens/scl/FB_MachineCoordinator.scl; 13_documentation/functional_design_specification.md</x:v>
      </x:c>
      <x:c r="F26" s="6" t="str">
        <x:v>TC-025; TC-026</x:v>
      </x:c>
      <x:c r="G26" s="6" t="str">
        <x:v>low-confidence/failed-bottle traces enter HOLDING pending disposition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test_id</x:v>
      </x:c>
      <x:c r="B1" s="12" t="str">
        <x:v>scenario</x:v>
      </x:c>
      <x:c r="C1" s="12" t="str">
        <x:v>method</x:v>
      </x:c>
      <x:c r="D1" s="12" t="str">
        <x:v>expected</x:v>
      </x:c>
      <x:c r="E1" s="12" t="str">
        <x:v>native_plcsim</x:v>
      </x:c>
      <x:c r="F1" s="12" t="str">
        <x:v>evidence</x:v>
      </x:c>
    </x:row>
    <x:row r="2" ht="54" customHeight="1">
      <x:c r="A2" s="6" t="str">
        <x:v>TC-001</x:v>
      </x:c>
      <x:c r="B2" s="6" t="str">
        <x:v>normal_two_bottle_cycle</x:v>
      </x:c>
      <x:c r="C2" s="6" t="str">
        <x:v>Deterministic Python simulation</x:v>
      </x:c>
      <x:c r="D2" s="6" t="str">
        <x:v>Exactly one pair releases only after independent fill completion, matched passing vision result and capper completion; no invariant violation</x:v>
      </x:c>
      <x:c r="E2" s="6" t="str">
        <x:v>INDEPENDENT PYTHON PASS; NATIVE PLCSIM NOT RUN</x:v>
      </x:c>
      <x:c r="F2" s="6" t="str">
        <x:v>11_simulation/outputs/traces/normal_two_bottle_cycle.csv; 11_simulation/outputs/scenario_results.csv</x:v>
      </x:c>
    </x:row>
    <x:row r="3" ht="54" customHeight="1">
      <x:c r="A3" s="6" t="str">
        <x:v>TC-002</x:v>
      </x:c>
      <x:c r="B3" s="6" t="str">
        <x:v>single_missing_bottle</x:v>
      </x:c>
      <x:c r="C3" s="6" t="str">
        <x:v>Deterministic Python simulation</x:v>
      </x:c>
      <x:c r="D3" s="6" t="str">
        <x:v>Inject single missing bottle; no product release, pump/valves decommand on first-out condition, controlled HOLD/FAULT outcome and no automatic restart</x:v>
      </x:c>
      <x:c r="E3" s="6" t="str">
        <x:v>INDEPENDENT PYTHON PASS; NATIVE PLCSIM NOT RUN</x:v>
      </x:c>
      <x:c r="F3" s="6" t="str">
        <x:v>11_simulation/outputs/traces/single_missing_bottle.csv; 11_simulation/outputs/scenario_results.csv</x:v>
      </x:c>
    </x:row>
    <x:row r="4" ht="54" customHeight="1">
      <x:c r="A4" s="6" t="str">
        <x:v>TC-003</x:v>
      </x:c>
      <x:c r="B4" s="6" t="str">
        <x:v>both_bottles_missing</x:v>
      </x:c>
      <x:c r="C4" s="6" t="str">
        <x:v>Deterministic Python simulation</x:v>
      </x:c>
      <x:c r="D4" s="6" t="str">
        <x:v>Inject both bottles missing; no product release, pump/valves decommand on first-out condition, controlled HOLD/FAULT outcome and no automatic restart</x:v>
      </x:c>
      <x:c r="E4" s="6" t="str">
        <x:v>INDEPENDENT PYTHON PASS; NATIVE PLCSIM NOT RUN</x:v>
      </x:c>
      <x:c r="F4" s="6" t="str">
        <x:v>11_simulation/outputs/traces/both_bottles_missing.csv; 11_simulation/outputs/scenario_results.csv</x:v>
      </x:c>
    </x:row>
    <x:row r="5" ht="54" customHeight="1">
      <x:c r="A5" s="6" t="str">
        <x:v>TC-004</x:v>
      </x:c>
      <x:c r="B5" s="6" t="str">
        <x:v>bottle_sensor_stuck_on</x:v>
      </x:c>
      <x:c r="C5" s="6" t="str">
        <x:v>Deterministic Python simulation</x:v>
      </x:c>
      <x:c r="D5" s="6" t="str">
        <x:v>Inject bottle sensor stuck on; no product release, pump/valves decommand on first-out condition, controlled HOLD/FAULT outcome and no automatic restart</x:v>
      </x:c>
      <x:c r="E5" s="6" t="str">
        <x:v>INDEPENDENT PYTHON PASS; NATIVE PLCSIM NOT RUN</x:v>
      </x:c>
      <x:c r="F5" s="6" t="str">
        <x:v>11_simulation/outputs/traces/bottle_sensor_stuck_on.csv; 11_simulation/outputs/scenario_results.csv</x:v>
      </x:c>
    </x:row>
    <x:row r="6" ht="54" customHeight="1">
      <x:c r="A6" s="6" t="str">
        <x:v>TC-005</x:v>
      </x:c>
      <x:c r="B6" s="6" t="str">
        <x:v>bottle_sensor_stuck_off</x:v>
      </x:c>
      <x:c r="C6" s="6" t="str">
        <x:v>Deterministic Python simulation</x:v>
      </x:c>
      <x:c r="D6" s="6" t="str">
        <x:v>Inject bottle sensor stuck off; no product release, pump/valves decommand on first-out condition, controlled HOLD/FAULT outcome and no automatic restart</x:v>
      </x:c>
      <x:c r="E6" s="6" t="str">
        <x:v>INDEPENDENT PYTHON PASS; NATIVE PLCSIM NOT RUN</x:v>
      </x:c>
      <x:c r="F6" s="6" t="str">
        <x:v>11_simulation/outputs/traces/bottle_sensor_stuck_off.csv; 11_simulation/outputs/scenario_results.csv</x:v>
      </x:c>
    </x:row>
    <x:row r="7" ht="54" customHeight="1">
      <x:c r="A7" s="6" t="str">
        <x:v>TC-006</x:v>
      </x:c>
      <x:c r="B7" s="6" t="str">
        <x:v>gate_timeout</x:v>
      </x:c>
      <x:c r="C7" s="6" t="str">
        <x:v>Deterministic Python simulation</x:v>
      </x:c>
      <x:c r="D7" s="6" t="str">
        <x:v>Inject gate timeout; no product release, pump/valves decommand on first-out condition, controlled HOLD/FAULT outcome and no automatic restart</x:v>
      </x:c>
      <x:c r="E7" s="6" t="str">
        <x:v>INDEPENDENT PYTHON PASS; NATIVE PLCSIM NOT RUN</x:v>
      </x:c>
      <x:c r="F7" s="6" t="str">
        <x:v>11_simulation/outputs/traces/gate_timeout.csv; 11_simulation/outputs/scenario_results.csv</x:v>
      </x:c>
    </x:row>
    <x:row r="8" ht="54" customHeight="1">
      <x:c r="A8" s="6" t="str">
        <x:v>TC-007</x:v>
      </x:c>
      <x:c r="B8" s="6" t="str">
        <x:v>clamp_timeout</x:v>
      </x:c>
      <x:c r="C8" s="6" t="str">
        <x:v>Deterministic Python simulation</x:v>
      </x:c>
      <x:c r="D8" s="6" t="str">
        <x:v>Inject clamp timeout; no product release, pump/valves decommand on first-out condition, controlled HOLD/FAULT outcome and no automatic restart</x:v>
      </x:c>
      <x:c r="E8" s="6" t="str">
        <x:v>INDEPENDENT PYTHON PASS; NATIVE PLCSIM NOT RUN</x:v>
      </x:c>
      <x:c r="F8" s="6" t="str">
        <x:v>11_simulation/outputs/traces/clamp_timeout.csv; 11_simulation/outputs/scenario_results.csv</x:v>
      </x:c>
    </x:row>
    <x:row r="9" ht="54" customHeight="1">
      <x:c r="A9" s="6" t="str">
        <x:v>TC-008</x:v>
      </x:c>
      <x:c r="B9" s="6" t="str">
        <x:v>contradictory_actuator_feedback</x:v>
      </x:c>
      <x:c r="C9" s="6" t="str">
        <x:v>Deterministic Python simulation</x:v>
      </x:c>
      <x:c r="D9" s="6" t="str">
        <x:v>Inject contradictory actuator feedback; no product release, pump/valves decommand on first-out condition, controlled HOLD/FAULT outcome and no automatic restart</x:v>
      </x:c>
      <x:c r="E9" s="6" t="str">
        <x:v>INDEPENDENT PYTHON PASS; NATIVE PLCSIM NOT RUN</x:v>
      </x:c>
      <x:c r="F9" s="6" t="str">
        <x:v>11_simulation/outputs/traces/contradictory_actuator_feedback.csv; 11_simulation/outputs/scenario_results.csv</x:v>
      </x:c>
    </x:row>
    <x:row r="10" ht="54" customHeight="1">
      <x:c r="A10" s="6" t="str">
        <x:v>TC-009</x:v>
      </x:c>
      <x:c r="B10" s="6" t="str">
        <x:v>flow_channel_no_pulse</x:v>
      </x:c>
      <x:c r="C10" s="6" t="str">
        <x:v>Deterministic Python simulation</x:v>
      </x:c>
      <x:c r="D10" s="6" t="str">
        <x:v>Inject flow channel no pulse; no product release, pump/valves decommand on first-out condition, controlled HOLD/FAULT outcome and no automatic restart</x:v>
      </x:c>
      <x:c r="E10" s="6" t="str">
        <x:v>INDEPENDENT PYTHON PASS; NATIVE PLCSIM NOT RUN</x:v>
      </x:c>
      <x:c r="F10" s="6" t="str">
        <x:v>11_simulation/outputs/traces/flow_channel_no_pulse.csv; 11_simulation/outputs/scenario_results.csv</x:v>
      </x:c>
    </x:row>
    <x:row r="11" ht="54" customHeight="1">
      <x:c r="A11" s="6" t="str">
        <x:v>TC-010</x:v>
      </x:c>
      <x:c r="B11" s="6" t="str">
        <x:v>flow_analog_pulse_disagreement</x:v>
      </x:c>
      <x:c r="C11" s="6" t="str">
        <x:v>Deterministic Python simulation</x:v>
      </x:c>
      <x:c r="D11" s="6" t="str">
        <x:v>Inject flow analog pulse disagreement; no product release, pump/valves decommand on first-out condition, controlled HOLD/FAULT outcome and no automatic restart</x:v>
      </x:c>
      <x:c r="E11" s="6" t="str">
        <x:v>INDEPENDENT PYTHON PASS; NATIVE PLCSIM NOT RUN</x:v>
      </x:c>
      <x:c r="F11" s="6" t="str">
        <x:v>11_simulation/outputs/traces/flow_analog_pulse_disagreement.csv; 11_simulation/outputs/scenario_results.csv</x:v>
      </x:c>
    </x:row>
    <x:row r="12" ht="54" customHeight="1">
      <x:c r="A12" s="6" t="str">
        <x:v>TC-011</x:v>
      </x:c>
      <x:c r="B12" s="6" t="str">
        <x:v>underfill</x:v>
      </x:c>
      <x:c r="C12" s="6" t="str">
        <x:v>Deterministic Python simulation</x:v>
      </x:c>
      <x:c r="D12" s="6" t="str">
        <x:v>Inject underfill; no product release, pump/valves decommand on first-out condition, controlled HOLD/FAULT outcome and no automatic restart</x:v>
      </x:c>
      <x:c r="E12" s="6" t="str">
        <x:v>INDEPENDENT PYTHON PASS; NATIVE PLCSIM NOT RUN</x:v>
      </x:c>
      <x:c r="F12" s="6" t="str">
        <x:v>11_simulation/outputs/traces/underfill.csv; 11_simulation/outputs/scenario_results.csv</x:v>
      </x:c>
    </x:row>
    <x:row r="13" ht="54" customHeight="1">
      <x:c r="A13" s="6" t="str">
        <x:v>TC-012</x:v>
      </x:c>
      <x:c r="B13" s="6" t="str">
        <x:v>overfill</x:v>
      </x:c>
      <x:c r="C13" s="6" t="str">
        <x:v>Deterministic Python simulation</x:v>
      </x:c>
      <x:c r="D13" s="6" t="str">
        <x:v>Inject overfill; no product release, pump/valves decommand on first-out condition, controlled HOLD/FAULT outcome and no automatic restart</x:v>
      </x:c>
      <x:c r="E13" s="6" t="str">
        <x:v>INDEPENDENT PYTHON PASS; NATIVE PLCSIM NOT RUN</x:v>
      </x:c>
      <x:c r="F13" s="6" t="str">
        <x:v>11_simulation/outputs/traces/overfill.csv; 11_simulation/outputs/scenario_results.csv</x:v>
      </x:c>
    </x:row>
    <x:row r="14" ht="54" customHeight="1">
      <x:c r="A14" s="6" t="str">
        <x:v>TC-013</x:v>
      </x:c>
      <x:c r="B14" s="6" t="str">
        <x:v>valve_fails_to_close</x:v>
      </x:c>
      <x:c r="C14" s="6" t="str">
        <x:v>Deterministic Python simulation</x:v>
      </x:c>
      <x:c r="D14" s="6" t="str">
        <x:v>Inject valve fails to close; no product release, pump/valves decommand on first-out condition, controlled HOLD/FAULT outcome and no automatic restart</x:v>
      </x:c>
      <x:c r="E14" s="6" t="str">
        <x:v>INDEPENDENT PYTHON PASS; NATIVE PLCSIM NOT RUN</x:v>
      </x:c>
      <x:c r="F14" s="6" t="str">
        <x:v>11_simulation/outputs/traces/valve_fails_to_close.csv; 11_simulation/outputs/scenario_results.csv</x:v>
      </x:c>
    </x:row>
    <x:row r="15" ht="54" customHeight="1">
      <x:c r="A15" s="6" t="str">
        <x:v>TC-014</x:v>
      </x:c>
      <x:c r="B15" s="6" t="str">
        <x:v>pump_vfd_fault</x:v>
      </x:c>
      <x:c r="C15" s="6" t="str">
        <x:v>Deterministic Python simulation</x:v>
      </x:c>
      <x:c r="D15" s="6" t="str">
        <x:v>Inject pump vfd fault; no product release, pump/valves decommand on first-out condition, controlled HOLD/FAULT outcome and no automatic restart</x:v>
      </x:c>
      <x:c r="E15" s="6" t="str">
        <x:v>INDEPENDENT PYTHON PASS; NATIVE PLCSIM NOT RUN</x:v>
      </x:c>
      <x:c r="F15" s="6" t="str">
        <x:v>11_simulation/outputs/traces/pump_vfd_fault.csv; 11_simulation/outputs/scenario_results.csv</x:v>
      </x:c>
    </x:row>
    <x:row r="16" ht="54" customHeight="1">
      <x:c r="A16" s="6" t="str">
        <x:v>TC-015</x:v>
      </x:c>
      <x:c r="B16" s="6" t="str">
        <x:v>conveyor_vfd_fault</x:v>
      </x:c>
      <x:c r="C16" s="6" t="str">
        <x:v>Deterministic Python simulation</x:v>
      </x:c>
      <x:c r="D16" s="6" t="str">
        <x:v>Inject conveyor vfd fault; no product release, pump/valves decommand on first-out condition, controlled HOLD/FAULT outcome and no automatic restart</x:v>
      </x:c>
      <x:c r="E16" s="6" t="str">
        <x:v>INDEPENDENT PYTHON PASS; NATIVE PLCSIM NOT RUN</x:v>
      </x:c>
      <x:c r="F16" s="6" t="str">
        <x:v>11_simulation/outputs/traces/conveyor_vfd_fault.csv; 11_simulation/outputs/scenario_results.csv</x:v>
      </x:c>
    </x:row>
    <x:row r="17" ht="54" customHeight="1">
      <x:c r="A17" s="6" t="str">
        <x:v>TC-016</x:v>
      </x:c>
      <x:c r="B17" s="6" t="str">
        <x:v>air_pressure_loss</x:v>
      </x:c>
      <x:c r="C17" s="6" t="str">
        <x:v>Deterministic Python simulation</x:v>
      </x:c>
      <x:c r="D17" s="6" t="str">
        <x:v>Inject air pressure loss; no product release, pump/valves decommand on first-out condition, controlled HOLD/FAULT outcome and no automatic restart</x:v>
      </x:c>
      <x:c r="E17" s="6" t="str">
        <x:v>INDEPENDENT PYTHON PASS; NATIVE PLCSIM NOT RUN</x:v>
      </x:c>
      <x:c r="F17" s="6" t="str">
        <x:v>11_simulation/outputs/traces/air_pressure_loss.csv; 11_simulation/outputs/scenario_results.csv</x:v>
      </x:c>
    </x:row>
    <x:row r="18" ht="54" customHeight="1">
      <x:c r="A18" s="6" t="str">
        <x:v>TC-017</x:v>
      </x:c>
      <x:c r="B18" s="6" t="str">
        <x:v>product_supply_loss</x:v>
      </x:c>
      <x:c r="C18" s="6" t="str">
        <x:v>Deterministic Python simulation</x:v>
      </x:c>
      <x:c r="D18" s="6" t="str">
        <x:v>Inject product supply loss; no product release, pump/valves decommand on first-out condition, controlled HOLD/FAULT outcome and no automatic restart</x:v>
      </x:c>
      <x:c r="E18" s="6" t="str">
        <x:v>INDEPENDENT PYTHON PASS; NATIVE PLCSIM NOT RUN</x:v>
      </x:c>
      <x:c r="F18" s="6" t="str">
        <x:v>11_simulation/outputs/traces/product_supply_loss.csv; 11_simulation/outputs/scenario_results.csv</x:v>
      </x:c>
    </x:row>
    <x:row r="19" ht="54" customHeight="1">
      <x:c r="A19" s="6" t="str">
        <x:v>TC-018</x:v>
      </x:c>
      <x:c r="B19" s="6" t="str">
        <x:v>capper_not_ready</x:v>
      </x:c>
      <x:c r="C19" s="6" t="str">
        <x:v>Deterministic Python simulation</x:v>
      </x:c>
      <x:c r="D19" s="6" t="str">
        <x:v>Inject capper not ready; no product release, pump/valves decommand on first-out condition, controlled HOLD/FAULT outcome and no automatic restart</x:v>
      </x:c>
      <x:c r="E19" s="6" t="str">
        <x:v>INDEPENDENT PYTHON PASS; NATIVE PLCSIM NOT RUN</x:v>
      </x:c>
      <x:c r="F19" s="6" t="str">
        <x:v>11_simulation/outputs/traces/capper_not_ready.csv; 11_simulation/outputs/scenario_results.csv</x:v>
      </x:c>
    </x:row>
    <x:row r="20" ht="54" customHeight="1">
      <x:c r="A20" s="6" t="str">
        <x:v>TC-019</x:v>
      </x:c>
      <x:c r="B20" s="6" t="str">
        <x:v>capper_busy_timeout</x:v>
      </x:c>
      <x:c r="C20" s="6" t="str">
        <x:v>Deterministic Python simulation</x:v>
      </x:c>
      <x:c r="D20" s="6" t="str">
        <x:v>Inject capper busy timeout; no product release, pump/valves decommand on first-out condition, controlled HOLD/FAULT outcome and no automatic restart</x:v>
      </x:c>
      <x:c r="E20" s="6" t="str">
        <x:v>INDEPENDENT PYTHON PASS; NATIVE PLCSIM NOT RUN</x:v>
      </x:c>
      <x:c r="F20" s="6" t="str">
        <x:v>11_simulation/outputs/traces/capper_busy_timeout.csv; 11_simulation/outputs/scenario_results.csv</x:v>
      </x:c>
    </x:row>
    <x:row r="21" ht="54" customHeight="1">
      <x:c r="A21" s="6" t="str">
        <x:v>TC-020</x:v>
      </x:c>
      <x:c r="B21" s="6" t="str">
        <x:v>capper_fault</x:v>
      </x:c>
      <x:c r="C21" s="6" t="str">
        <x:v>Deterministic Python simulation</x:v>
      </x:c>
      <x:c r="D21" s="6" t="str">
        <x:v>Inject capper fault; no product release, pump/valves decommand on first-out condition, controlled HOLD/FAULT outcome and no automatic restart</x:v>
      </x:c>
      <x:c r="E21" s="6" t="str">
        <x:v>INDEPENDENT PYTHON PASS; NATIVE PLCSIM NOT RUN</x:v>
      </x:c>
      <x:c r="F21" s="6" t="str">
        <x:v>11_simulation/outputs/traces/capper_fault.csv; 11_simulation/outputs/scenario_results.csv</x:v>
      </x:c>
    </x:row>
    <x:row r="22" ht="54" customHeight="1">
      <x:c r="A22" s="6" t="str">
        <x:v>TC-021</x:v>
      </x:c>
      <x:c r="B22" s="6" t="str">
        <x:v>hmi_communications_loss</x:v>
      </x:c>
      <x:c r="C22" s="6" t="str">
        <x:v>Deterministic Python simulation</x:v>
      </x:c>
      <x:c r="D22" s="6" t="str">
        <x:v>Inject hmi communications loss; no product release, pump/valves decommand on first-out condition, controlled HOLD/FAULT outcome and no automatic restart</x:v>
      </x:c>
      <x:c r="E22" s="6" t="str">
        <x:v>INDEPENDENT PYTHON PASS; NATIVE PLCSIM NOT RUN</x:v>
      </x:c>
      <x:c r="F22" s="6" t="str">
        <x:v>11_simulation/outputs/traces/hmi_communications_loss.csv; 11_simulation/outputs/scenario_results.csv</x:v>
      </x:c>
    </x:row>
    <x:row r="23" ht="54" customHeight="1">
      <x:c r="A23" s="6" t="str">
        <x:v>TC-022</x:v>
      </x:c>
      <x:c r="B23" s="6" t="str">
        <x:v>vision_not_ready</x:v>
      </x:c>
      <x:c r="C23" s="6" t="str">
        <x:v>Deterministic Python simulation</x:v>
      </x:c>
      <x:c r="D23" s="6" t="str">
        <x:v>Inject vision not ready; no product release, pump/valves decommand on first-out condition, controlled HOLD/FAULT outcome and no automatic restart</x:v>
      </x:c>
      <x:c r="E23" s="6" t="str">
        <x:v>INDEPENDENT PYTHON PASS; NATIVE PLCSIM NOT RUN</x:v>
      </x:c>
      <x:c r="F23" s="6" t="str">
        <x:v>11_simulation/outputs/traces/vision_not_ready.csv; 11_simulation/outputs/scenario_results.csv</x:v>
      </x:c>
    </x:row>
    <x:row r="24" ht="54" customHeight="1">
      <x:c r="A24" s="6" t="str">
        <x:v>TC-023</x:v>
      </x:c>
      <x:c r="B24" s="6" t="str">
        <x:v>vision_result_timeout</x:v>
      </x:c>
      <x:c r="C24" s="6" t="str">
        <x:v>Deterministic Python simulation</x:v>
      </x:c>
      <x:c r="D24" s="6" t="str">
        <x:v>Inject vision result timeout; no product release, pump/valves decommand on first-out condition, controlled HOLD/FAULT outcome and no automatic restart</x:v>
      </x:c>
      <x:c r="E24" s="6" t="str">
        <x:v>INDEPENDENT PYTHON PASS; NATIVE PLCSIM NOT RUN</x:v>
      </x:c>
      <x:c r="F24" s="6" t="str">
        <x:v>11_simulation/outputs/traces/vision_result_timeout.csv; 11_simulation/outputs/scenario_results.csv</x:v>
      </x:c>
    </x:row>
    <x:row r="25" ht="54" customHeight="1">
      <x:c r="A25" s="6" t="str">
        <x:v>TC-024</x:v>
      </x:c>
      <x:c r="B25" s="6" t="str">
        <x:v>stale_inspection_id</x:v>
      </x:c>
      <x:c r="C25" s="6" t="str">
        <x:v>Deterministic Python simulation</x:v>
      </x:c>
      <x:c r="D25" s="6" t="str">
        <x:v>Inject stale inspection id; no product release, pump/valves decommand on first-out condition, controlled HOLD/FAULT outcome and no automatic restart</x:v>
      </x:c>
      <x:c r="E25" s="6" t="str">
        <x:v>INDEPENDENT PYTHON PASS; NATIVE PLCSIM NOT RUN</x:v>
      </x:c>
      <x:c r="F25" s="6" t="str">
        <x:v>11_simulation/outputs/traces/stale_inspection_id.csv; 11_simulation/outputs/scenario_results.csv</x:v>
      </x:c>
    </x:row>
    <x:row r="26" ht="54" customHeight="1">
      <x:c r="A26" s="6" t="str">
        <x:v>TC-025</x:v>
      </x:c>
      <x:c r="B26" s="6" t="str">
        <x:v>low_confidence_inspection</x:v>
      </x:c>
      <x:c r="C26" s="6" t="str">
        <x:v>Deterministic Python simulation</x:v>
      </x:c>
      <x:c r="D26" s="6" t="str">
        <x:v>Inject low confidence inspection; no product release, pump/valves decommand on first-out condition, controlled HOLD/FAULT outcome and no automatic restart</x:v>
      </x:c>
      <x:c r="E26" s="6" t="str">
        <x:v>INDEPENDENT PYTHON PASS; NATIVE PLCSIM NOT RUN</x:v>
      </x:c>
      <x:c r="F26" s="6" t="str">
        <x:v>11_simulation/outputs/traces/low_confidence_inspection.csv; 11_simulation/outputs/scenario_results.csv</x:v>
      </x:c>
    </x:row>
    <x:row r="27" ht="54" customHeight="1">
      <x:c r="A27" s="6" t="str">
        <x:v>TC-026</x:v>
      </x:c>
      <x:c r="B27" s="6" t="str">
        <x:v>one_bottle_fails</x:v>
      </x:c>
      <x:c r="C27" s="6" t="str">
        <x:v>Deterministic Python simulation</x:v>
      </x:c>
      <x:c r="D27" s="6" t="str">
        <x:v>Inject one bottle fails; no product release, pump/valves decommand on first-out condition, controlled HOLD/FAULT outcome and no automatic restart</x:v>
      </x:c>
      <x:c r="E27" s="6" t="str">
        <x:v>INDEPENDENT PYTHON PASS; NATIVE PLCSIM NOT RUN</x:v>
      </x:c>
      <x:c r="F27" s="6" t="str">
        <x:v>11_simulation/outputs/traces/one_bottle_fails.csv; 11_simulation/outputs/scenario_results.csv</x:v>
      </x:c>
    </x:row>
    <x:row r="28" ht="54" customHeight="1">
      <x:c r="A28" s="6" t="str">
        <x:v>TC-027</x:v>
      </x:c>
      <x:c r="B28" s="6" t="str">
        <x:v>vision_heartbeat_loss</x:v>
      </x:c>
      <x:c r="C28" s="6" t="str">
        <x:v>Deterministic Python simulation</x:v>
      </x:c>
      <x:c r="D28" s="6" t="str">
        <x:v>Inject vision heartbeat loss; no product release, pump/valves decommand on first-out condition, controlled HOLD/FAULT outcome and no automatic restart</x:v>
      </x:c>
      <x:c r="E28" s="6" t="str">
        <x:v>INDEPENDENT PYTHON PASS; NATIVE PLCSIM NOT RUN</x:v>
      </x:c>
      <x:c r="F28" s="6" t="str">
        <x:v>11_simulation/outputs/traces/vision_heartbeat_loss.csv; 11_simulation/outputs/scenario_results.csv</x:v>
      </x:c>
    </x:row>
    <x:row r="29" ht="54" customHeight="1">
      <x:c r="A29" s="6" t="str">
        <x:v>TC-028</x:v>
      </x:c>
      <x:c r="B29" s="6" t="str">
        <x:v>plc_heartbeat_loss</x:v>
      </x:c>
      <x:c r="C29" s="6" t="str">
        <x:v>Deterministic Python simulation</x:v>
      </x:c>
      <x:c r="D29" s="6" t="str">
        <x:v>Inject plc heartbeat loss; no product release, pump/valves decommand on first-out condition, controlled HOLD/FAULT outcome and no automatic restart</x:v>
      </x:c>
      <x:c r="E29" s="6" t="str">
        <x:v>INDEPENDENT PYTHON PASS; NATIVE PLCSIM NOT RUN</x:v>
      </x:c>
      <x:c r="F29" s="6" t="str">
        <x:v>11_simulation/outputs/traces/plc_heartbeat_loss.csv; 11_simulation/outputs/scenario_results.csv</x:v>
      </x:c>
    </x:row>
    <x:row r="30" ht="54" customHeight="1">
      <x:c r="A30" s="6" t="str">
        <x:v>TC-029</x:v>
      </x:c>
      <x:c r="B30" s="6" t="str">
        <x:v>power_loss_during_filling</x:v>
      </x:c>
      <x:c r="C30" s="6" t="str">
        <x:v>Deterministic Python simulation</x:v>
      </x:c>
      <x:c r="D30" s="6" t="str">
        <x:v>Inject power loss during filling; no product release, pump/valves decommand on first-out condition, controlled HOLD/FAULT outcome and no automatic restart</x:v>
      </x:c>
      <x:c r="E30" s="6" t="str">
        <x:v>INDEPENDENT PYTHON PASS; NATIVE PLCSIM NOT RUN</x:v>
      </x:c>
      <x:c r="F30" s="6" t="str">
        <x:v>11_simulation/outputs/traces/power_loss_during_filling.csv; 11_simulation/outputs/scenario_results.csv</x:v>
      </x:c>
    </x:row>
    <x:row r="31" ht="54" customHeight="1">
      <x:c r="A31" s="6" t="str">
        <x:v>TC-030</x:v>
      </x:c>
      <x:c r="B31" s="6" t="str">
        <x:v>power_restoration</x:v>
      </x:c>
      <x:c r="C31" s="6" t="str">
        <x:v>Deterministic Python simulation</x:v>
      </x:c>
      <x:c r="D31" s="6" t="str">
        <x:v>Inject power restoration; no product release, pump/valves decommand on first-out condition, controlled HOLD/FAULT outcome and no automatic restart</x:v>
      </x:c>
      <x:c r="E31" s="6" t="str">
        <x:v>INDEPENDENT PYTHON PASS; NATIVE PLCSIM NOT RUN</x:v>
      </x:c>
      <x:c r="F31" s="6" t="str">
        <x:v>11_simulation/outputs/traces/power_restoration.csv; 11_simulation/outputs/scenario_results.csv</x:v>
      </x:c>
    </x:row>
    <x:row r="32" ht="54" customHeight="1">
      <x:c r="A32" s="6" t="str">
        <x:v>TC-031</x:v>
      </x:c>
      <x:c r="B32" s="6" t="str">
        <x:v>reset_no_restart</x:v>
      </x:c>
      <x:c r="C32" s="6" t="str">
        <x:v>Deterministic Python simulation</x:v>
      </x:c>
      <x:c r="D32" s="6" t="str">
        <x:v>Inject reset no restart; no product release, pump/valves decommand on first-out condition, controlled HOLD/FAULT outcome and no automatic restart</x:v>
      </x:c>
      <x:c r="E32" s="6" t="str">
        <x:v>INDEPENDENT PYTHON PASS; NATIVE PLCSIM NOT RUN</x:v>
      </x:c>
      <x:c r="F32" s="6" t="str">
        <x:v>11_simulation/outputs/traces/reset_no_restart.csv; 11_simulation/outputs/scenario_results.csv</x:v>
      </x:c>
    </x:row>
    <x:row r="33" ht="54" customHeight="1">
      <x:c r="A33" s="6" t="str">
        <x:v>TC-032</x:v>
      </x:c>
      <x:c r="B33" s="6" t="str">
        <x:v>manual_mode_interlocks</x:v>
      </x:c>
      <x:c r="C33" s="6" t="str">
        <x:v>Deterministic Python simulation</x:v>
      </x:c>
      <x:c r="D33" s="6" t="str">
        <x:v>Inject manual mode interlocks; no product release, pump/valves decommand on first-out condition, controlled HOLD/FAULT outcome and no automatic restart</x:v>
      </x:c>
      <x:c r="E33" s="6" t="str">
        <x:v>INDEPENDENT PYTHON PASS; NATIVE PLCSIM NOT RUN</x:v>
      </x:c>
      <x:c r="F33" s="6" t="str">
        <x:v>11_simulation/outputs/traces/manual_mode_interlocks.csv; 11_simulation/outputs/scenario_results.csv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22.5" hidden="0" customWidth="1"/>
    <x:col min="6" max="6" width="19.3799991607666" hidden="0" customWidth="1"/>
    <x:col min="7" max="7" width="33.75" hidden="0" customWidth="1"/>
  </x:cols>
  <x:sheetData>
    <x:row r="1" ht="31.5" customHeight="1">
      <x:c r="A1" s="12" t="str">
        <x:v>request_id</x:v>
      </x:c>
      <x:c r="B1" s="12" t="str">
        <x:v>required_input</x:v>
      </x:c>
      <x:c r="C1" s="12" t="str">
        <x:v>owner</x:v>
      </x:c>
      <x:c r="D1" s="12" t="str">
        <x:v>blocks</x:v>
      </x:c>
      <x:c r="E1" s="12" t="str">
        <x:v>status</x:v>
      </x:c>
      <x:c r="F1" s="12" t="str">
        <x:v>date_requested</x:v>
      </x:c>
      <x:c r="G1" s="12" t="str">
        <x:v>evidence_required</x:v>
      </x:c>
    </x:row>
    <x:row r="2" ht="54" customHeight="1">
      <x:c r="A2" s="6" t="str">
        <x:v>IR-001</x:v>
      </x:c>
      <x:c r="B2" s="6" t="str">
        <x:v>Country/market and applicable regulatory basis</x:v>
      </x:c>
      <x:c r="C2" s="6" t="str">
        <x:v>Owner / legal authority</x:v>
      </x:c>
      <x:c r="D2" s="6" t="str">
        <x:v>Electrical, documentation, conformity</x:v>
      </x:c>
      <x:c r="E2" s="6" t="str">
        <x:v>OPEN</x:v>
      </x:c>
      <x:c r="F2" s="6" t="str">
        <x:v>2026-08-02</x:v>
      </x:c>
      <x:c r="G2" s="6" t="str">
        <x:v>Approved source document or native evidence</x:v>
      </x:c>
    </x:row>
    <x:row r="3" ht="54" customHeight="1">
      <x:c r="A3" s="6" t="str">
        <x:v>IR-002</x:v>
      </x:c>
      <x:c r="B3" s="6" t="str">
        <x:v>Site supply voltage/frequency, earthing system and available fault current</x:v>
      </x:c>
      <x:c r="C3" s="6" t="str">
        <x:v>Site electrical engineer</x:v>
      </x:c>
      <x:c r="D3" s="6" t="str">
        <x:v>Protection, SCCR, PE, conductor sizing</x:v>
      </x:c>
      <x:c r="E3" s="6" t="str">
        <x:v>OPEN</x:v>
      </x:c>
      <x:c r="F3" s="6" t="str">
        <x:v>2026-08-02</x:v>
      </x:c>
      <x:c r="G3" s="6" t="str">
        <x:v>Approved source document or native evidence</x:v>
      </x:c>
    </x:row>
    <x:row r="4" ht="54" customHeight="1">
      <x:c r="A4" s="6" t="str">
        <x:v>IR-003</x:v>
      </x:c>
      <x:c r="B4" s="6" t="str">
        <x:v>Ambient temperature, altitude, contamination and required enclosure IP</x:v>
      </x:c>
      <x:c r="C4" s="6" t="str">
        <x:v>Site engineering</x:v>
      </x:c>
      <x:c r="D4" s="6" t="str">
        <x:v>Panel thermal/enclosure</x:v>
      </x:c>
      <x:c r="E4" s="6" t="str">
        <x:v>OPEN</x:v>
      </x:c>
      <x:c r="F4" s="6" t="str">
        <x:v>2026-08-02</x:v>
      </x:c>
      <x:c r="G4" s="6" t="str">
        <x:v>Approved source document or native evidence</x:v>
      </x:c>
    </x:row>
    <x:row r="5" ht="54" customHeight="1">
      <x:c r="A5" s="6" t="str">
        <x:v>IR-004</x:v>
      </x:c>
      <x:c r="B5" s="6" t="str">
        <x:v>Conveyor motor nameplate, duty, speed/torque and cable length</x:v>
      </x:c>
      <x:c r="C5" s="6" t="str">
        <x:v>Mechanical/vendor</x:v>
      </x:c>
      <x:c r="D5" s="6" t="str">
        <x:v>Drive sizing and protection</x:v>
      </x:c>
      <x:c r="E5" s="6" t="str">
        <x:v>OPEN</x:v>
      </x:c>
      <x:c r="F5" s="6" t="str">
        <x:v>2026-08-02</x:v>
      </x:c>
      <x:c r="G5" s="6" t="str">
        <x:v>Approved source document or native evidence</x:v>
      </x:c>
    </x:row>
    <x:row r="6" ht="54" customHeight="1">
      <x:c r="A6" s="6" t="str">
        <x:v>IR-005</x:v>
      </x:c>
      <x:c r="B6" s="6" t="str">
        <x:v>Pump curve, motor nameplate, duty, dead-head behavior and cable length</x:v>
      </x:c>
      <x:c r="C6" s="6" t="str">
        <x:v>Process/vendor</x:v>
      </x:c>
      <x:c r="D6" s="6" t="str">
        <x:v>Drive, process and overpressure design</x:v>
      </x:c>
      <x:c r="E6" s="6" t="str">
        <x:v>OPEN</x:v>
      </x:c>
      <x:c r="F6" s="6" t="str">
        <x:v>2026-08-02</x:v>
      </x:c>
      <x:c r="G6" s="6" t="str">
        <x:v>Approved source document or native evidence</x:v>
      </x:c>
    </x:row>
    <x:row r="7" ht="54" customHeight="1">
      <x:c r="A7" s="6" t="str">
        <x:v>IR-006</x:v>
      </x:c>
      <x:c r="B7" s="6" t="str">
        <x:v>Valve coil voltage/current, response time and fail state</x:v>
      </x:c>
      <x:c r="C7" s="6" t="str">
        <x:v>Valve vendor</x:v>
      </x:c>
      <x:c r="D7" s="6" t="str">
        <x:v>Output/relay sizing and timeout values</x:v>
      </x:c>
      <x:c r="E7" s="6" t="str">
        <x:v>OPEN</x:v>
      </x:c>
      <x:c r="F7" s="6" t="str">
        <x:v>2026-08-02</x:v>
      </x:c>
      <x:c r="G7" s="6" t="str">
        <x:v>Approved source document or native evidence</x:v>
      </x:c>
    </x:row>
    <x:row r="8" ht="54" customHeight="1">
      <x:c r="A8" s="6" t="str">
        <x:v>IR-007</x:v>
      </x:c>
      <x:c r="B8" s="6" t="str">
        <x:v>Sensor types, connectors and electrical characteristics</x:v>
      </x:c>
      <x:c r="C8" s="6" t="str">
        <x:v>Machine designer</x:v>
      </x:c>
      <x:c r="D8" s="6" t="str">
        <x:v>Point-to-point wiring</x:v>
      </x:c>
      <x:c r="E8" s="6" t="str">
        <x:v>OPEN</x:v>
      </x:c>
      <x:c r="F8" s="6" t="str">
        <x:v>2026-08-02</x:v>
      </x:c>
      <x:c r="G8" s="6" t="str">
        <x:v>Approved source document or native evidence</x:v>
      </x:c>
    </x:row>
    <x:row r="9" ht="54" customHeight="1">
      <x:c r="A9" s="6" t="str">
        <x:v>IR-008</x:v>
      </x:c>
      <x:c r="B9" s="6" t="str">
        <x:v>Flowmeter model, K-factor, maximum pulse frequency and 4-20 mA diagnostics</x:v>
      </x:c>
      <x:c r="C9" s="6" t="str">
        <x:v>Instrument vendor</x:v>
      </x:c>
      <x:c r="D9" s="6" t="str">
        <x:v>TM Count, scaling and diagnostics</x:v>
      </x:c>
      <x:c r="E9" s="6" t="str">
        <x:v>OPEN</x:v>
      </x:c>
      <x:c r="F9" s="6" t="str">
        <x:v>2026-08-02</x:v>
      </x:c>
      <x:c r="G9" s="6" t="str">
        <x:v>Approved source document or native evidence</x:v>
      </x:c>
    </x:row>
    <x:row r="10" ht="54" customHeight="1">
      <x:c r="A10" s="6" t="str">
        <x:v>IR-009</x:v>
      </x:c>
      <x:c r="B10" s="6" t="str">
        <x:v>Bottle drawings/materials, recipes, fill targets and tolerances</x:v>
      </x:c>
      <x:c r="C10" s="6" t="str">
        <x:v>Process owner</x:v>
      </x:c>
      <x:c r="D10" s="6" t="str">
        <x:v>Sequence, recipe and optics</x:v>
      </x:c>
      <x:c r="E10" s="6" t="str">
        <x:v>OPEN</x:v>
      </x:c>
      <x:c r="F10" s="6" t="str">
        <x:v>2026-08-02</x:v>
      </x:c>
      <x:c r="G10" s="6" t="str">
        <x:v>Approved source document or native evidence</x:v>
      </x:c>
    </x:row>
    <x:row r="11" ht="54" customHeight="1">
      <x:c r="A11" s="6" t="str">
        <x:v>IR-010</x:v>
      </x:c>
      <x:c r="B11" s="6" t="str">
        <x:v>Required throughput and cycle-time allocation</x:v>
      </x:c>
      <x:c r="C11" s="6" t="str">
        <x:v>Production owner</x:v>
      </x:c>
      <x:c r="D11" s="6" t="str">
        <x:v>Performance sizing</x:v>
      </x:c>
      <x:c r="E11" s="6" t="str">
        <x:v>OPEN</x:v>
      </x:c>
      <x:c r="F11" s="6" t="str">
        <x:v>2026-08-02</x:v>
      </x:c>
      <x:c r="G11" s="6" t="str">
        <x:v>Approved source document or native evidence</x:v>
      </x:c>
    </x:row>
    <x:row r="12" ht="54" customHeight="1">
      <x:c r="A12" s="6" t="str">
        <x:v>IR-011</x:v>
      </x:c>
      <x:c r="B12" s="6" t="str">
        <x:v>Capper electrical protocol and timing specification</x:v>
      </x:c>
      <x:c r="C12" s="6" t="str">
        <x:v>Capper vendor</x:v>
      </x:c>
      <x:c r="D12" s="6" t="str">
        <x:v>Handshake and terminals</x:v>
      </x:c>
      <x:c r="E12" s="6" t="str">
        <x:v>OPEN</x:v>
      </x:c>
      <x:c r="F12" s="6" t="str">
        <x:v>2026-08-02</x:v>
      </x:c>
      <x:c r="G12" s="6" t="str">
        <x:v>Approved source document or native evidence</x:v>
      </x:c>
    </x:row>
    <x:row r="13" ht="54" customHeight="1">
      <x:c r="A13" s="6" t="str">
        <x:v>IR-012</x:v>
      </x:c>
      <x:c r="B13" s="6" t="str">
        <x:v>Camera working envelope, line constraints and optical trial samples</x:v>
      </x:c>
      <x:c r="C13" s="6" t="str">
        <x:v>Machine/process owner</x:v>
      </x:c>
      <x:c r="D13" s="6" t="str">
        <x:v>Camera/lens/light selection</x:v>
      </x:c>
      <x:c r="E13" s="6" t="str">
        <x:v>OPEN</x:v>
      </x:c>
      <x:c r="F13" s="6" t="str">
        <x:v>2026-08-02</x:v>
      </x:c>
      <x:c r="G13" s="6" t="str">
        <x:v>Approved source document or native evidence</x:v>
      </x:c>
    </x:row>
    <x:row r="14" ht="54" customHeight="1">
      <x:c r="A14" s="6" t="str">
        <x:v>IR-013</x:v>
      </x:c>
      <x:c r="B14" s="6" t="str">
        <x:v>Representative labeled real dataset with lot/SKU/session provenance</x:v>
      </x:c>
      <x:c r="C14" s="6" t="str">
        <x:v>Quality owner</x:v>
      </x:c>
      <x:c r="D14" s="6" t="str">
        <x:v>AI training/evaluation</x:v>
      </x:c>
      <x:c r="E14" s="6" t="str">
        <x:v>OPEN</x:v>
      </x:c>
      <x:c r="F14" s="6" t="str">
        <x:v>2026-08-02</x:v>
      </x:c>
      <x:c r="G14" s="6" t="str">
        <x:v>Approved source document or native evidence</x:v>
      </x:c>
    </x:row>
    <x:row r="15" ht="54" customHeight="1">
      <x:c r="A15" s="6" t="str">
        <x:v>IR-014</x:v>
      </x:c>
      <x:c r="B15" s="6" t="str">
        <x:v>Approved Jetson module/carrier and lifecycle policy</x:v>
      </x:c>
      <x:c r="C15" s="6" t="str">
        <x:v>IT/OT owner</x:v>
      </x:c>
      <x:c r="D15" s="6" t="str">
        <x:v>Edge hardware, power and thermal</x:v>
      </x:c>
      <x:c r="E15" s="6" t="str">
        <x:v>OPEN</x:v>
      </x:c>
      <x:c r="F15" s="6" t="str">
        <x:v>2026-08-02</x:v>
      </x:c>
      <x:c r="G15" s="6" t="str">
        <x:v>Approved source document or native evidence</x:v>
      </x:c>
    </x:row>
    <x:row r="16" ht="54" customHeight="1">
      <x:c r="A16" s="6" t="str">
        <x:v>IR-015</x:v>
      </x:c>
      <x:c r="B16" s="6" t="str">
        <x:v>Site network, certificate, identity and cybersecurity policy</x:v>
      </x:c>
      <x:c r="C16" s="6" t="str">
        <x:v>OT security</x:v>
      </x:c>
      <x:c r="D16" s="6" t="str">
        <x:v>Firewall and OPC UA deployment</x:v>
      </x:c>
      <x:c r="E16" s="6" t="str">
        <x:v>OPEN</x:v>
      </x:c>
      <x:c r="F16" s="6" t="str">
        <x:v>2026-08-02</x:v>
      </x:c>
      <x:c r="G16" s="6" t="str">
        <x:v>Approved source document or native evidence</x:v>
      </x:c>
    </x:row>
    <x:row r="17" ht="54" customHeight="1">
      <x:c r="A17" s="6" t="str">
        <x:v>IR-016</x:v>
      </x:c>
      <x:c r="B17" s="6" t="str">
        <x:v>Usable licensed TIA Portal V20 / WinCC Unified access</x:v>
      </x:c>
      <x:c r="C17" s="6" t="str">
        <x:v>Controls owner</x:v>
      </x:c>
      <x:c r="D17" s="6" t="str">
        <x:v>Native PLC/HMI project and compile</x:v>
      </x:c>
      <x:c r="E17" s="6" t="str">
        <x:v>OPEN</x:v>
      </x:c>
      <x:c r="F17" s="6" t="str">
        <x:v>2026-08-02</x:v>
      </x:c>
      <x:c r="G17" s="6" t="str">
        <x:v>Approved source document or native evidence</x:v>
      </x:c>
    </x:row>
    <x:row r="18" ht="54" customHeight="1">
      <x:c r="A18" s="6" t="str">
        <x:v>IR-017</x:v>
      </x:c>
      <x:c r="B18" s="6" t="str">
        <x:v>Startdrive installation and licensed access</x:v>
      </x:c>
      <x:c r="C18" s="6" t="str">
        <x:v>Controls owner</x:v>
      </x:c>
      <x:c r="D18" s="6" t="str">
        <x:v>Drive native configuration</x:v>
      </x:c>
      <x:c r="E18" s="6" t="str">
        <x:v>OPEN</x:v>
      </x:c>
      <x:c r="F18" s="6" t="str">
        <x:v>2026-08-02</x:v>
      </x:c>
      <x:c r="G18" s="6" t="str">
        <x:v>Approved source document or native evidence</x:v>
      </x:c>
    </x:row>
    <x:row r="19" ht="54" customHeight="1">
      <x:c r="A19" s="6" t="str">
        <x:v>IR-018</x:v>
      </x:c>
      <x:c r="B19" s="6" t="str">
        <x:v>PLCSIM or PLCSIM Advanced installation</x:v>
      </x:c>
      <x:c r="C19" s="6" t="str">
        <x:v>Controls owner</x:v>
      </x:c>
      <x:c r="D19" s="6" t="str">
        <x:v>Native software-in-loop traces</x:v>
      </x:c>
      <x:c r="E19" s="6" t="str">
        <x:v>OPEN</x:v>
      </x:c>
      <x:c r="F19" s="6" t="str">
        <x:v>2026-08-02</x:v>
      </x:c>
      <x:c r="G19" s="6" t="str">
        <x:v>Approved source document or native evidence</x:v>
      </x:c>
    </x:row>
    <x:row r="20" ht="54" customHeight="1">
      <x:c r="A20" s="6" t="str">
        <x:v>IR-019</x:v>
      </x:c>
      <x:c r="B20" s="6" t="str">
        <x:v>Qualified panel-CAD reviewer, final vendor envelopes/clearances and construction confirmation</x:v>
      </x:c>
      <x:c r="C20" s="6" t="str">
        <x:v>Electrical owner</x:v>
      </x:c>
      <x:c r="D20" s="6" t="str">
        <x:v>Construction release of Revision-E native panel CAD</x:v>
      </x:c>
      <x:c r="E20" s="6" t="str">
        <x:v>PARTIAL</x:v>
      </x:c>
      <x:c r="F20" s="6" t="str">
        <x:v>2026-08-02</x:v>
      </x:c>
      <x:c r="G20" s="6" t="str">
        <x:v>Qualified-human review plus approved vendor/site construction data</x:v>
      </x:c>
    </x:row>
    <x:row r="21" ht="54" customHeight="1">
      <x:c r="A21" s="6" t="str">
        <x:v>IR-020</x:v>
      </x:c>
      <x:c r="B21" s="6" t="str">
        <x:v>Qualified machinery-safety engineer risk assessment and validation plan</x:v>
      </x:c>
      <x:c r="C21" s="6" t="str">
        <x:v>Project authority</x:v>
      </x:c>
      <x:c r="D21" s="6" t="str">
        <x:v>External safety architecture</x:v>
      </x:c>
      <x:c r="E21" s="6" t="str">
        <x:v>OPEN</x:v>
      </x:c>
      <x:c r="F21" s="6" t="str">
        <x:v>2026-08-02</x:v>
      </x:c>
      <x:c r="G21" s="6" t="str">
        <x:v>Approved source document or native evidence</x:v>
      </x:c>
    </x:row>
    <x:row r="22" ht="54" customHeight="1">
      <x:c r="A22" s="6" t="str">
        <x:v>IR-021</x:v>
      </x:c>
      <x:c r="B22" s="6" t="str">
        <x:v>Native reopen/export/all-page review of corrected QET and qualified electrical schematic reviewer</x:v>
      </x:c>
      <x:c r="C22" s="6" t="str">
        <x:v>Electrical owner</x:v>
      </x:c>
      <x:c r="D22" s="6" t="str">
        <x:v>Native schematic gate and construction review</x:v>
      </x:c>
      <x:c r="E22" s="6" t="str">
        <x:v>PARTIAL</x:v>
      </x:c>
      <x:c r="F22" s="6" t="str">
        <x:v>2026-08-02</x:v>
      </x:c>
      <x:c r="G22" s="6" t="str">
        <x:v>Exact corrected-hash QET reopen, PDF export, cross-reference report and qualified-human review</x:v>
      </x:c>
    </x:row>
    <x:row r="23" ht="54" customHeight="1">
      <x:c r="A23" s="6" t="str">
        <x:v>IR-022</x:v>
      </x:c>
      <x:c r="B23" s="6" t="str">
        <x:v>Field cable route lengths, installation method, grouping, ambient and approved cable families</x:v>
      </x:c>
      <x:c r="C23" s="6" t="str">
        <x:v>Site electrical engineer</x:v>
      </x:c>
      <x:c r="D23" s="6" t="str">
        <x:v>Conductor loading, voltage drop, fill and cable release</x:v>
      </x:c>
      <x:c r="E23" s="6" t="str">
        <x:v>OPEN</x:v>
      </x:c>
      <x:c r="F23" s="6" t="str">
        <x:v>2026-08-02</x:v>
      </x:c>
      <x:c r="G23" s="6" t="str">
        <x:v>Approved source document or native evidence</x:v>
      </x:c>
    </x:row>
    <x:row r="24" ht="54" customHeight="1">
      <x:c r="A24" s="6" t="str">
        <x:v>IR-023</x:v>
      </x:c>
      <x:c r="B24" s="6" t="str">
        <x:v>24 V branch load currents, inrush profiles and selected protection-device data</x:v>
      </x:c>
      <x:c r="C24" s="6" t="str">
        <x:v>Electrical/vendor</x:v>
      </x:c>
      <x:c r="D24" s="6" t="str">
        <x:v>PSU transient margin and branch protection coordination</x:v>
      </x:c>
      <x:c r="E24" s="6" t="str">
        <x:v>OPEN</x:v>
      </x:c>
      <x:c r="F24" s="6" t="str">
        <x:v>2026-08-02</x:v>
      </x:c>
      <x:c r="G24" s="6" t="str">
        <x:v>Approved source document or native evidence</x:v>
      </x:c>
    </x:row>
    <x:row r="25" ht="54" customHeight="1">
      <x:c r="A25" s="6" t="str">
        <x:v>IR-024</x:v>
      </x:c>
      <x:c r="B25" s="6" t="str">
        <x:v>Enclosure material/size/IP, ambient/altitude/solar exposure and verified device loss data</x:v>
      </x:c>
      <x:c r="C25" s="6" t="str">
        <x:v>Site/mechanical/vendor</x:v>
      </x:c>
      <x:c r="D25" s="6" t="str">
        <x:v>Panel thermal assessment and fan/filter selection</x:v>
      </x:c>
      <x:c r="E25" s="6" t="str">
        <x:v>OPEN</x:v>
      </x:c>
      <x:c r="F25" s="6" t="str">
        <x:v>2026-08-02</x:v>
      </x:c>
      <x:c r="G25" s="6" t="str">
        <x:v>Approved source document or native evidence</x:v>
      </x:c>
    </x:row>
    <x:row r="26" ht="54" customHeight="1">
      <x:c r="A26" s="6" t="str">
        <x:v>IR-025</x:v>
      </x:c>
      <x:c r="B26" s="6" t="str">
        <x:v>Approved terminal family, jumpers, test/disconnect, PE and spare-position policy</x:v>
      </x:c>
      <x:c r="C26" s="6" t="str">
        <x:v>Electrical owner</x:v>
      </x:c>
      <x:c r="D26" s="6" t="str">
        <x:v>Terminal quantity, width, bridges and placement release</x:v>
      </x:c>
      <x:c r="E26" s="6" t="str">
        <x:v>OPEN</x:v>
      </x:c>
      <x:c r="F26" s="6" t="str">
        <x:v>2026-08-02</x:v>
      </x:c>
      <x:c r="G26" s="6" t="str">
        <x:v>Approved source document or native evidence</x:v>
      </x:c>
    </x:row>
    <x:row r="27" ht="54" customHeight="1">
      <x:c r="A27" s="6" t="str">
        <x:v>IR-026</x:v>
      </x:c>
      <x:c r="B27" s="6" t="str">
        <x:v>Approved PE/FE/0 V/MANA bonding and EMC-zone/shield termination policy</x:v>
      </x:c>
      <x:c r="C27" s="6" t="str">
        <x:v>Site electrical/EMC authority</x:v>
      </x:c>
      <x:c r="D27" s="6" t="str">
        <x:v>Bonding topology and shield/return release</x:v>
      </x:c>
      <x:c r="E27" s="6" t="str">
        <x:v>OPEN</x:v>
      </x:c>
      <x:c r="F27" s="6" t="str">
        <x:v>2026-08-02</x:v>
      </x:c>
      <x:c r="G27" s="6" t="str">
        <x:v>Approved source document or native evidence</x:v>
      </x:c>
    </x:row>
    <x:row r="28" ht="54" customHeight="1">
      <x:c r="A28" s="6" t="str">
        <x:v>IR-027</x:v>
      </x:c>
      <x:c r="B28" s="6" t="str">
        <x:v>Source transformer/impedance and component interrupt/SCCR data</x:v>
      </x:c>
      <x:c r="C28" s="6" t="str">
        <x:v>Site electrical engineer</x:v>
      </x:c>
      <x:c r="D28" s="6" t="str">
        <x:v>Prospective fault current and assembly SCCR assessment</x:v>
      </x:c>
      <x:c r="E28" s="6" t="str">
        <x:v>OPEN</x:v>
      </x:c>
      <x:c r="F28" s="6" t="str">
        <x:v>2026-08-02</x:v>
      </x:c>
      <x:c r="G28" s="6" t="str">
        <x:v>Approved source document or native evidence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22.5" hidden="0" customWidth="1"/>
    <x:col min="4" max="4" width="33.75" hidden="0" customWidth="1"/>
  </x:cols>
  <x:sheetData>
    <x:row r="1" ht="31.5" customHeight="1">
      <x:c r="A1" s="12" t="str">
        <x:v>gate</x:v>
      </x:c>
      <x:c r="B1" s="12" t="str">
        <x:v>acceptance_gate</x:v>
      </x:c>
      <x:c r="C1" s="12" t="str">
        <x:v>status</x:v>
      </x:c>
      <x:c r="D1" s="12" t="str">
        <x:v>evidence_or_blocker</x:v>
      </x:c>
    </x:row>
    <x:row r="2" ht="54" customHeight="1">
      <x:c r="A2" s="6" t="str">
        <x:v>1</x:v>
      </x:c>
      <x:c r="B2" s="6" t="str">
        <x:v>Requirements/interfaces traceable</x:v>
      </x:c>
      <x:c r="C2" s="6" t="str">
        <x:v>PARTIAL</x:v>
      </x:c>
      <x:c r="D2" s="6" t="str">
        <x:v>Controlled model, native-workstream schedules and tests are traceable; identified requirements-owner approval is absent</x:v>
      </x:c>
    </x:row>
    <x:row r="3" ht="54" customHeight="1">
      <x:c r="A3" s="6" t="str">
        <x:v>2</x:v>
      </x:c>
      <x:c r="B3" s="6" t="str">
        <x:v>Canonical model reconciles schedules</x:v>
      </x:c>
      <x:c r="C3" s="6" t="str">
        <x:v>PASS</x:v>
      </x:c>
      <x:c r="D3" s="6" t="str">
        <x:v>Revision-E deterministic validator and source/schedule/native-evidence contracts pass; see current automated report for exact count</x:v>
      </x:c>
    </x:row>
    <x:row r="4" ht="54" customHeight="1">
      <x:c r="A4" s="6" t="str">
        <x:v>3</x:v>
      </x:c>
      <x:c r="B4" s="6" t="str">
        <x:v>Siemens hardware baseline confirmed</x:v>
      </x:c>
      <x:c r="C4" s="6" t="str">
        <x:v>PARTIAL</x:v>
      </x:c>
      <x:c r="D4" s="6" t="str">
        <x:v>V20/FW4.0 source baseline and selected envelopes documented; authorized native catalog confirmation and delivered-state evidence remain open</x:v>
      </x:c>
    </x:row>
    <x:row r="5" ht="54" customHeight="1">
      <x:c r="A5" s="6" t="str">
        <x:v>4</x:v>
      </x:c>
      <x:c r="B5" s="6" t="str">
        <x:v>Native TIA project opens</x:v>
      </x:c>
      <x:c r="C5" s="6" t="str">
        <x:v>BLOCKED</x:v>
      </x:c>
      <x:c r="D5" s="6" t="str">
        <x:v>No genuine AP20 project; active identity is not TIA Engineer/Openness-authorized and V20 entitlement is unproven</x:v>
      </x:c>
    </x:row>
    <x:row r="6" ht="54" customHeight="1">
      <x:c r="A6" s="6" t="str">
        <x:v>5</x:v>
      </x:c>
      <x:c r="B6" s="6" t="str">
        <x:v>Native TIA archive restores</x:v>
      </x:c>
      <x:c r="C6" s="6" t="str">
        <x:v>BLOCKED</x:v>
      </x:c>
      <x:c r="D6" s="6" t="str">
        <x:v>No genuine ZAP20 archive exists; native authorized project creation/restoration was not available</x:v>
      </x:c>
    </x:row>
    <x:row r="7" ht="54" customHeight="1">
      <x:c r="A7" s="6" t="str">
        <x:v>6</x:v>
      </x:c>
      <x:c r="B7" s="6" t="str">
        <x:v>PLC compiles zero errors</x:v>
      </x:c>
      <x:c r="C7" s="6" t="str">
        <x:v>BLOCKED</x:v>
      </x:c>
      <x:c r="D7" s="6" t="str">
        <x:v>67 source/simulator contracts pass at Revision-E authoring time; TIA V20 compile was not run</x:v>
      </x:c>
    </x:row>
    <x:row r="8" ht="54" customHeight="1">
      <x:c r="A8" s="6" t="str">
        <x:v>7</x:v>
      </x:c>
      <x:c r="B8" s="6" t="str">
        <x:v>HMI compiles zero errors</x:v>
      </x:c>
      <x:c r="C8" s="6" t="str">
        <x:v>BLOCKED</x:v>
      </x:c>
      <x:c r="D8" s="6" t="str">
        <x:v>WinCC V20 components exist but no authorized/licensed native HMI project or compile is proven</x:v>
      </x:c>
    </x:row>
    <x:row r="9" ht="54" customHeight="1">
      <x:c r="A9" s="6" t="str">
        <x:v>8</x:v>
      </x:c>
      <x:c r="B9" s="6" t="str">
        <x:v>Startdrive configured/reviewed</x:v>
      </x:c>
      <x:c r="C9" s="6" t="str">
        <x:v>BLOCKED</x:v>
      </x:c>
      <x:c r="D9" s="6" t="str">
        <x:v>Startdrive is not installed; motor, pump and site inputs are also missing</x:v>
      </x:c>
    </x:row>
    <x:row r="10" ht="54" customHeight="1">
      <x:c r="A10" s="6" t="str">
        <x:v>9</x:v>
      </x:c>
      <x:c r="B10" s="6" t="str">
        <x:v>PLCSIM traces pass</x:v>
      </x:c>
      <x:c r="C10" s="6" t="str">
        <x:v>BLOCKED</x:v>
      </x:c>
      <x:c r="D10" s="6" t="str">
        <x:v>PLCSIM/PLCSIM Advanced are not installed; deterministic Python evidence is explicitly independent</x:v>
      </x:c>
    </x:row>
    <x:row r="11" ht="54" customHeight="1">
      <x:c r="A11" s="6" t="str">
        <x:v>10</x:v>
      </x:c>
      <x:c r="B11" s="6" t="str">
        <x:v>Revision-E QET reopens and reconciles</x:v>
      </x:c>
      <x:c r="C11" s="6" t="str">
        <x:v>PARTIAL</x:v>
      </x:c>
      <x:c r="D11" s="6" t="str">
        <x:v>Corrected 26-folio QET source BCA022BE0B9F65AA061F9731C1EE0BD0399947F04C94EE596D4AD231BB47AAD5 passes 24/24 static and 6/6 contract checks; exact corrected hash was not natively reopened/exported, so native reconciliation remains partial</x:v>
      </x:c>
    </x:row>
    <x:row r="12" ht="54" customHeight="1">
      <x:c r="A12" s="6" t="str">
        <x:v>11</x:v>
      </x:c>
      <x:c r="B12" s="6" t="str">
        <x:v>Schematics export and all-page visual review</x:v>
      </x:c>
      <x:c r="C12" s="6" t="str">
        <x:v>BLOCKED</x:v>
      </x:c>
      <x:c r="D12" s="6" t="str">
        <x:v>Native QET PDF export was not completed and only sampled folios were inspected; all-page visual and native cross-reference review remain blocked</x:v>
      </x:c>
    </x:row>
    <x:row r="13" ht="54" customHeight="1">
      <x:c r="A13" s="6" t="str">
        <x:v>12</x:v>
      </x:c>
      <x:c r="B13" s="6" t="str">
        <x:v>Revision-E FCStd reopens</x:v>
      </x:c>
      <x:c r="C13" s="6" t="str">
        <x:v>PASS</x:v>
      </x:c>
      <x:c r="D13" s="6" t="str">
        <x:v>FreeCADCmd independently reopened 165 objects / 148 controlled solids; STEP retained 148 solids; IGES retained bounded face geometry; DXF entities and 30 scheduled holes reconciled</x:v>
      </x:c>
    </x:row>
    <x:row r="14" ht="54" customHeight="1">
      <x:c r="A14" s="6" t="str">
        <x:v>13</x:v>
      </x:c>
      <x:c r="B14" s="6" t="str">
        <x:v>STEP/IGES/DXF reimport</x:v>
      </x:c>
      <x:c r="C14" s="6" t="str">
        <x:v>PASS</x:v>
      </x:c>
      <x:c r="D14" s="6" t="str">
        <x:v>FreeCADCmd independently reopened 165 objects / 148 controlled solids; STEP retained 148 solids; IGES retained bounded face geometry; DXF entities and 30 scheduled holes reconciled</x:v>
      </x:c>
    </x:row>
    <x:row r="15" ht="54" customHeight="1">
      <x:c r="A15" s="6" t="str">
        <x:v>14</x:v>
      </x:c>
      <x:c r="B15" s="6" t="str">
        <x:v>Full BOM/panel layout reconcile</x:v>
      </x:c>
      <x:c r="C15" s="6" t="str">
        <x:v>PARTIAL</x:v>
      </x:c>
      <x:c r="D15" s="6" t="str">
        <x:v>Revision-E native layout covers selected architecture and controlled provisional envelopes; final carrier, terminal/relay families, vendor clearances, thermal and construction inputs remain open</x:v>
      </x:c>
    </x:row>
    <x:row r="16" ht="54" customHeight="1">
      <x:c r="A16" s="6" t="str">
        <x:v>15</x:v>
      </x:c>
      <x:c r="B16" s="6" t="str">
        <x:v>Electrical calculations confirmed</x:v>
      </x:c>
      <x:c r="C16" s="6" t="str">
        <x:v>BLOCKED</x:v>
      </x:c>
      <x:c r="D16" s="6" t="str">
        <x:v>Supply, earthing, fault current, motors/pump, cable routes, installation method, ambient and enclosure/site requirements remain unconfirmed</x:v>
      </x:c>
    </x:row>
    <x:row r="17" ht="54" customHeight="1">
      <x:c r="A17" s="6" t="str">
        <x:v>16</x:v>
      </x:c>
      <x:c r="B17" s="6" t="str">
        <x:v>Real NVIDIA dataset controlled</x:v>
      </x:c>
      <x:c r="C17" s="6" t="str">
        <x:v>BLOCKED</x:v>
      </x:c>
      <x:c r="D17" s="6" t="str">
        <x:v>No representative labeled project dataset or golden/negative image sets were supplied</x:v>
      </x:c>
    </x:row>
    <x:row r="18" ht="54" customHeight="1">
      <x:c r="A18" s="6" t="str">
        <x:v>17</x:v>
      </x:c>
      <x:c r="B18" s="6" t="str">
        <x:v>Genuine model training/evaluation</x:v>
      </x:c>
      <x:c r="C18" s="6" t="str">
        <x:v>BLOCKED</x:v>
      </x:c>
      <x:c r="D18" s="6" t="str">
        <x:v>No controlled dataset, training run, evaluated model, ONNX export or defensible metrics exist</x:v>
      </x:c>
    </x:row>
    <x:row r="19" ht="54" customHeight="1">
      <x:c r="A19" s="6" t="str">
        <x:v>18</x:v>
      </x:c>
      <x:c r="B19" s="6" t="str">
        <x:v>TensorRT/DeepStream target runtime</x:v>
      </x:c>
      <x:c r="C19" s="6" t="str">
        <x:v>BLOCKED</x:v>
      </x:c>
      <x:c r="D19" s="6" t="str">
        <x:v>No selected industrial Jetson carrier/runtime image; CUDA Toolkit, TensorRT, DeepStream and TAO are absent locally</x:v>
      </x:c>
    </x:row>
    <x:row r="20" ht="54" customHeight="1">
      <x:c r="A20" s="6" t="str">
        <x:v>19</x:v>
      </x:c>
      <x:c r="B20" s="6" t="str">
        <x:v>PLC-NVIDIA failure tests</x:v>
      </x:c>
      <x:c r="C20" s="6" t="str">
        <x:v>PASS</x:v>
      </x:c>
      <x:c r="D20" s="6" t="str">
        <x:v>Source/simulator, edge-service, interface-harness and real asyncua encrypted server/client integration tests pass; production PLC/Jetson endpoint validation remains outside this local gate</x:v>
      </x:c>
    </x:row>
    <x:row r="21" ht="54" customHeight="1">
      <x:c r="A21" s="6" t="str">
        <x:v>20</x:v>
      </x:c>
      <x:c r="B21" s="6" t="str">
        <x:v>FAT/SAT/commissioning</x:v>
      </x:c>
      <x:c r="C21" s="6" t="str">
        <x:v>OPEN</x:v>
      </x:c>
      <x:c r="D21" s="6" t="str">
        <x:v>Controlled procedures issued; no FAT, SAT or commissioning was executed</x:v>
      </x:c>
    </x:row>
    <x:row r="22" ht="54" customHeight="1">
      <x:c r="A22" s="6" t="str">
        <x:v>21</x:v>
      </x:c>
      <x:c r="B22" s="6" t="str">
        <x:v>Qualified safety activities</x:v>
      </x:c>
      <x:c r="C22" s="6" t="str">
        <x:v>BLOCKED</x:v>
      </x:c>
      <x:c r="D22" s="6" t="str">
        <x:v>Project-specific qualified machinery-safety engineering, verification and validation are external and not performed</x:v>
      </x:c>
    </x:row>
    <x:row r="23" ht="54" customHeight="1">
      <x:c r="A23" s="6" t="str">
        <x:v>22</x:v>
      </x:c>
      <x:c r="B23" s="6" t="str">
        <x:v>Manifest independently verifies</x:v>
      </x:c>
      <x:c r="C23" s="6" t="str">
        <x:v>PASS</x:v>
      </x:c>
      <x:c r="D23" s="6" t="str">
        <x:v>Published candidate b9633c6255fe34e48a1be34afe5024935f48651e was cloned afresh from GitHub outside OneDrive and passed the complete HEAD workflow: manifest 310/310 with zero discrepancies, integrity 534/534, validator 551/551, all tests/native checks, deterministic artifacts and clean state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30" hidden="0" customWidth="1"/>
    <x:col min="4" max="4" width="19.3799991607666" hidden="0" customWidth="1"/>
    <x:col min="5" max="5" width="19.3799991607666" hidden="0" customWidth="1"/>
    <x:col min="6" max="6" width="22.5" hidden="0" customWidth="1"/>
  </x:cols>
  <x:sheetData>
    <x:row r="1" ht="31.5" customHeight="1">
      <x:c r="A1" s="12" t="str">
        <x:v>document_id</x:v>
      </x:c>
      <x:c r="B1" s="12" t="str">
        <x:v>title</x:v>
      </x:c>
      <x:c r="C1" s="12" t="str">
        <x:v>path</x:v>
      </x:c>
      <x:c r="D1" s="12" t="str">
        <x:v>revision</x:v>
      </x:c>
      <x:c r="E1" s="12" t="str">
        <x:v>owner</x:v>
      </x:c>
      <x:c r="F1" s="12" t="str">
        <x:v>status</x:v>
      </x:c>
    </x:row>
    <x:row r="2" ht="54" customHeight="1">
      <x:c r="A2" s="6" t="str">
        <x:v>DOC-001</x:v>
      </x:c>
      <x:c r="B2" s="6" t="str">
        <x:v>Repository overview</x:v>
      </x:c>
      <x:c r="C2" s="6" t="str">
        <x:v>README.md</x:v>
      </x:c>
      <x:c r="D2" s="6" t="str">
        <x:v>E</x:v>
      </x:c>
      <x:c r="E2" s="6" t="str">
        <x:v>Lead systems engineer</x:v>
      </x:c>
      <x:c r="F2" s="6" t="str">
        <x:v>Controlled</x:v>
      </x:c>
    </x:row>
    <x:row r="3" ht="54" customHeight="1">
      <x:c r="A3" s="6" t="str">
        <x:v>DOC-002</x:v>
      </x:c>
      <x:c r="B3" s="6" t="str">
        <x:v>Canonical model</x:v>
      </x:c>
      <x:c r="C3" s="6" t="str">
        <x:v>00_project_control/canonical_model.json</x:v>
      </x:c>
      <x:c r="D3" s="6" t="str">
        <x:v>E</x:v>
      </x:c>
      <x:c r="E3" s="6" t="str">
        <x:v>Lead systems engineer</x:v>
      </x:c>
      <x:c r="F3" s="6" t="str">
        <x:v>Controlled</x:v>
      </x:c>
    </x:row>
    <x:row r="4" ht="54" customHeight="1">
      <x:c r="A4" s="6" t="str">
        <x:v>DOC-003</x:v>
      </x:c>
      <x:c r="B4" s="6" t="str">
        <x:v>Functional design specification</x:v>
      </x:c>
      <x:c r="C4" s="6" t="str">
        <x:v>13_documentation/functional_design_specification.md</x:v>
      </x:c>
      <x:c r="D4" s="6" t="str">
        <x:v>E</x:v>
      </x:c>
      <x:c r="E4" s="6" t="str">
        <x:v>Controls engineer</x:v>
      </x:c>
      <x:c r="F4" s="6" t="str">
        <x:v>Controlled; native compile open</x:v>
      </x:c>
    </x:row>
    <x:row r="5" ht="54" customHeight="1">
      <x:c r="A5" s="6" t="str">
        <x:v>DOC-004</x:v>
      </x:c>
      <x:c r="B5" s="6" t="str">
        <x:v>Software design specification</x:v>
      </x:c>
      <x:c r="C5" s="6" t="str">
        <x:v>13_documentation/software_design_specification.md</x:v>
      </x:c>
      <x:c r="D5" s="6" t="str">
        <x:v>E</x:v>
      </x:c>
      <x:c r="E5" s="6" t="str">
        <x:v>Controls engineer</x:v>
      </x:c>
      <x:c r="F5" s="6" t="str">
        <x:v>Controlled; native compile open</x:v>
      </x:c>
    </x:row>
    <x:row r="6" ht="54" customHeight="1">
      <x:c r="A6" s="6" t="str">
        <x:v>DOC-005</x:v>
      </x:c>
      <x:c r="B6" s="6" t="str">
        <x:v>PLC-NVIDIA interface control</x:v>
      </x:c>
      <x:c r="C6" s="6" t="str">
        <x:v>02_system_architecture/interface_control_document.md</x:v>
      </x:c>
      <x:c r="D6" s="6" t="str">
        <x:v>E</x:v>
      </x:c>
      <x:c r="E6" s="6" t="str">
        <x:v>Controls/vision</x:v>
      </x:c>
      <x:c r="F6" s="6" t="str">
        <x:v>Controlled; production endpoint open</x:v>
      </x:c>
    </x:row>
    <x:row r="7" ht="54" customHeight="1">
      <x:c r="A7" s="6" t="str">
        <x:v>DOC-006</x:v>
      </x:c>
      <x:c r="B7" s="6" t="str">
        <x:v>Panel design report</x:v>
      </x:c>
      <x:c r="C7" s="6" t="str">
        <x:v>13_documentation/panel_design_report.md</x:v>
      </x:c>
      <x:c r="D7" s="6" t="str">
        <x:v>E</x:v>
      </x:c>
      <x:c r="E7" s="6" t="str">
        <x:v>Electrical/panel</x:v>
      </x:c>
      <x:c r="F7" s="6" t="str">
        <x:v>Controlled assumptions; construction open</x:v>
      </x:c>
    </x:row>
    <x:row r="8" ht="54" customHeight="1">
      <x:c r="A8" s="6" t="str">
        <x:v>DOC-007</x:v>
      </x:c>
      <x:c r="B8" s="6" t="str">
        <x:v>Electrical calculation report</x:v>
      </x:c>
      <x:c r="C8" s="6" t="str">
        <x:v>13_documentation/electrical_calculation_report.md</x:v>
      </x:c>
      <x:c r="D8" s="6" t="str">
        <x:v>E</x:v>
      </x:c>
      <x:c r="E8" s="6" t="str">
        <x:v>Electrical</x:v>
      </x:c>
      <x:c r="F8" s="6" t="str">
        <x:v>Provisional; site inputs open</x:v>
      </x:c>
    </x:row>
    <x:row r="9" ht="54" customHeight="1">
      <x:c r="A9" s="6" t="str">
        <x:v>DOC-008</x:v>
      </x:c>
      <x:c r="B9" s="6" t="str">
        <x:v>Acceptance gate status</x:v>
      </x:c>
      <x:c r="C9" s="6" t="str">
        <x:v>14_qa/acceptance_gate_status.md</x:v>
      </x:c>
      <x:c r="D9" s="6" t="str">
        <x:v>E</x:v>
      </x:c>
      <x:c r="E9" s="6" t="str">
        <x:v>Independent V&amp;V</x:v>
      </x:c>
      <x:c r="F9" s="6" t="str">
        <x:v>Controlled</x:v>
      </x:c>
    </x:row>
    <x:row r="10" ht="54" customHeight="1">
      <x:c r="A10" s="6" t="str">
        <x:v>DOC-009</x:v>
      </x:c>
      <x:c r="B10" s="6" t="str">
        <x:v>Engineering workbook</x:v>
      </x:c>
      <x:c r="C10" s="6" t="str">
        <x:v>10_schedules/FC01_engineering_schedules.xlsx</x:v>
      </x:c>
      <x:c r="D10" s="6" t="str">
        <x:v>E</x:v>
      </x:c>
      <x:c r="E10" s="6" t="str">
        <x:v>Lead systems engineer</x:v>
      </x:c>
      <x:c r="F10" s="6" t="str">
        <x:v>Controlled generated artifact</x:v>
      </x:c>
    </x:row>
    <x:row r="11" ht="54" customHeight="1">
      <x:c r="A11" s="6" t="str">
        <x:v>DOC-010</x:v>
      </x:c>
      <x:c r="B11" s="6" t="str">
        <x:v>Release evidence PDF</x:v>
      </x:c>
      <x:c r="C11" s="6" t="str">
        <x:v>release/FC01_release_evidence.pdf</x:v>
      </x:c>
      <x:c r="D11" s="6" t="str">
        <x:v>E</x:v>
      </x:c>
      <x:c r="E11" s="6" t="str">
        <x:v>Lead systems engineer</x:v>
      </x:c>
      <x:c r="F11" s="6" t="str">
        <x:v>Controlled generated artifact</x:v>
      </x:c>
    </x:row>
    <x:row r="12" ht="54" customHeight="1">
      <x:c r="A12" s="6" t="str">
        <x:v>DOC-011</x:v>
      </x:c>
      <x:c r="B12" s="6" t="str">
        <x:v>Release manifest</x:v>
      </x:c>
      <x:c r="C12" s="6" t="str">
        <x:v>release/manifest.json</x:v>
      </x:c>
      <x:c r="D12" s="6" t="str">
        <x:v>E</x:v>
      </x:c>
      <x:c r="E12" s="6" t="str">
        <x:v>Configuration management</x:v>
      </x:c>
      <x:c r="F12" s="6" t="str">
        <x:v>Frozen after all content</x:v>
      </x:c>
    </x:row>
    <x:row r="13" ht="54" customHeight="1">
      <x:c r="A13" s="6" t="str">
        <x:v>DOC-012</x:v>
      </x:c>
      <x:c r="B13" s="6" t="str">
        <x:v>Native panel verification</x:v>
      </x:c>
      <x:c r="C13" s="6" t="str">
        <x:v>09_panel_cad/revision_e/native_verification.json</x:v>
      </x:c>
      <x:c r="D13" s="6" t="str">
        <x:v>E</x:v>
      </x:c>
      <x:c r="E13" s="6" t="str">
        <x:v>Panel engineer</x:v>
      </x:c>
      <x:c r="F13" s="6" t="str">
        <x:v>Native gate evidence</x:v>
      </x:c>
    </x:row>
    <x:row r="14" ht="54" customHeight="1">
      <x:c r="A14" s="6" t="str">
        <x:v>DOC-013</x:v>
      </x:c>
      <x:c r="B14" s="6" t="str">
        <x:v>Native QET verification</x:v>
      </x:c>
      <x:c r="C14" s="6" t="str">
        <x:v>03_electrical/revision_e/native_verification.json</x:v>
      </x:c>
      <x:c r="D14" s="6" t="str">
        <x:v>E</x:v>
      </x:c>
      <x:c r="E14" s="6" t="str">
        <x:v>Electrical engineer</x:v>
      </x:c>
      <x:c r="F14" s="6" t="str">
        <x:v>Native gate evidence when present</x:v>
      </x:c>
    </x:row>
    <x:row r="15" ht="54" customHeight="1">
      <x:c r="A15" s="6" t="str">
        <x:v>DOC-014</x:v>
      </x:c>
      <x:c r="B15" s="6" t="str">
        <x:v>Post-push fresh-clone reproduction</x:v>
      </x:c>
      <x:c r="C15" s="6" t="str">
        <x:v>14_qa/post_push_reproduction.md</x:v>
      </x:c>
      <x:c r="D15" s="6" t="str">
        <x:v>E</x:v>
      </x:c>
      <x:c r="E15" s="6" t="str">
        <x:v>Configuration management</x:v>
      </x:c>
      <x:c r="F15" s="6" t="str">
        <x:v>Published-candidate release-integrity evidence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6.25" hidden="0" customWidth="1"/>
    <x:col min="4" max="4" width="13.75" hidden="0" customWidth="1"/>
    <x:col min="5" max="5" width="13.75" hidden="0" customWidth="1"/>
    <x:col min="6" max="6" width="13.75" hidden="0" customWidth="1"/>
    <x:col min="7" max="7" width="13.75" hidden="0" customWidth="1"/>
    <x:col min="8" max="8" width="13.75" hidden="0" customWidth="1"/>
  </x:cols>
  <x:sheetData>
    <x:row r="1">
      <x:c r="A1" s="18" t="str">
        <x:v>FC01 - SIEMENS / NVIDIA ENGINEERING SCHEDULES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4" t="str">
        <x:v>FICTIONAL ENGINEERING PROJECT - NOT FOR CONSTRUCTION | Revision E | Controlled native-engineering release candidate</x:v>
      </x:c>
      <x:c r="B3" s="24"/>
      <x:c r="C3" s="24"/>
      <x:c r="D3" s="24"/>
      <x:c r="E3" s="24"/>
      <x:c r="F3" s="24"/>
      <x:c r="G3" s="24"/>
      <x:c r="H3" s="24"/>
    </x:row>
    <x:row r="4">
      <x:c r="A4" s="30" t="str">
        <x:v>CONCEPTUAL SAFETY ARCHITECTURE - REQUIRES PROJECT-SPECIFIC RISK ASSESSMENT, DESIGN, VERIFICATION AND VALIDATION BY A QUALIFIED MACHINERY-SAFETY ENGINEER. NO PERFORMANCE LEVEL, SIL, CATEGORY, CE CONFORMITY OR REGULATORY COMPLIANCE IS CLAIMED.</x:v>
      </x:c>
      <x:c r="B4" s="30"/>
      <x:c r="C4" s="30"/>
      <x:c r="D4" s="30"/>
      <x:c r="E4" s="30"/>
      <x:c r="F4" s="30"/>
      <x:c r="G4" s="30"/>
      <x:c r="H4" s="30"/>
    </x:row>
    <x:row r="5">
      <x:c r="A5" s="34" t="str">
        <x:v>Controlled metric</x:v>
      </x:c>
      <x:c r="B5" s="34" t="str">
        <x:v>Value</x:v>
      </x:c>
      <x:c r="D5" s="40" t="str">
        <x:v>Release boundary</x:v>
      </x:c>
      <x:c r="E5" s="40"/>
      <x:c r="F5" s="40"/>
      <x:c r="G5" s="40"/>
      <x:c r="H5" s="40"/>
    </x:row>
    <x:row r="6">
      <x:c r="A6" s="36" t="str">
        <x:v>PLC I/O rows</x:v>
      </x:c>
      <x:c r="B6" t="n">
        <x:f>COUNTA('PLC I-O'!A2:A200)</x:f>
        <x:v>74</x:v>
      </x:c>
      <x:c r="D6" s="46" t="str">
        <x:v>Revision E includes source-tested poll-safe PLC/AI logic, secure asyncua integration and separately controlled native CAD/QET evidence. Native TIA/WinCC/Startdrive/PLCSIM, final site electrical design, trained NVIDIA model, target runtime, FAT/SAT, qualified safety and physical commissioning remain blocked or open exactly as listed. No construction, safety, native compile or model-performance claim is made.</x:v>
      </x:c>
      <x:c r="E6" s="46"/>
      <x:c r="F6" s="46"/>
      <x:c r="G6" s="46"/>
      <x:c r="H6" s="46"/>
    </x:row>
    <x:row r="7">
      <x:c r="A7" s="36" t="str">
        <x:v>Physical DI</x:v>
      </x:c>
      <x:c r="B7" t="n">
        <x:f>COUNTIF('PLC I-O'!B2:B200,"DI")</x:f>
        <x:v>32</x:v>
      </x:c>
      <x:c r="D7" s="46"/>
      <x:c r="E7" s="46"/>
      <x:c r="F7" s="46"/>
      <x:c r="G7" s="46"/>
      <x:c r="H7" s="46"/>
    </x:row>
    <x:row r="8">
      <x:c r="A8" s="36" t="str">
        <x:v>Physical DO</x:v>
      </x:c>
      <x:c r="B8" t="n">
        <x:f>COUNTIF('PLC I-O'!B2:B200,"DO")</x:f>
        <x:v>32</x:v>
      </x:c>
      <x:c r="D8" s="46"/>
      <x:c r="E8" s="46"/>
      <x:c r="F8" s="46"/>
      <x:c r="G8" s="46"/>
      <x:c r="H8" s="46"/>
    </x:row>
    <x:row r="9">
      <x:c r="A9" s="36" t="str">
        <x:v>Analog inputs</x:v>
      </x:c>
      <x:c r="B9" t="n">
        <x:f>COUNTIF('PLC I-O'!B2:B200,"AI")</x:f>
        <x:v>8</x:v>
      </x:c>
      <x:c r="D9" s="46"/>
      <x:c r="E9" s="46"/>
      <x:c r="F9" s="46"/>
      <x:c r="G9" s="46"/>
      <x:c r="H9" s="46"/>
    </x:row>
    <x:row r="10">
      <x:c r="A10" s="36" t="str">
        <x:v>High-speed counters</x:v>
      </x:c>
      <x:c r="B10" t="n">
        <x:f>COUNTIF('PLC I-O'!B2:B200,"HSC")</x:f>
        <x:v>2</x:v>
      </x:c>
      <x:c r="D10" s="46"/>
      <x:c r="E10" s="46"/>
      <x:c r="F10" s="46"/>
      <x:c r="G10" s="46"/>
      <x:c r="H10" s="46"/>
    </x:row>
    <x:row r="11">
      <x:c r="A11" s="36" t="str">
        <x:v>Vision contract signals</x:v>
      </x:c>
      <x:c r="B11" t="n">
        <x:f>COUNTA('NVIDIA Interface'!A2:A100)</x:f>
        <x:v>27</x:v>
      </x:c>
      <x:c r="D11" s="46"/>
      <x:c r="E11" s="46"/>
      <x:c r="F11" s="46"/>
      <x:c r="G11" s="46"/>
      <x:c r="H11" s="46"/>
    </x:row>
    <x:row r="12">
      <x:c r="A12" s="36" t="str">
        <x:v>Traceability test records</x:v>
      </x:c>
      <x:c r="B12" t="n">
        <x:f>COUNTA('Test Coverage'!A2:A100)</x:f>
        <x:v>32</x:v>
      </x:c>
      <x:c r="D12" s="46"/>
      <x:c r="E12" s="46"/>
      <x:c r="F12" s="46"/>
      <x:c r="G12" s="46"/>
      <x:c r="H12" s="46"/>
    </x:row>
    <x:row r="13">
      <x:c r="A13" s="36" t="str">
        <x:v>PASS gates</x:v>
      </x:c>
      <x:c r="B13" t="n">
        <x:f>COUNTIF('Acceptance Gates'!C2:C100,"PASS")</x:f>
        <x:v>5</x:v>
      </x:c>
      <x:c r="D13" s="46"/>
      <x:c r="E13" s="46"/>
      <x:c r="F13" s="46"/>
      <x:c r="G13" s="46"/>
      <x:c r="H13" s="46"/>
    </x:row>
    <x:row r="14">
      <x:c r="A14" s="36" t="str">
        <x:v>PARTIAL gates</x:v>
      </x:c>
      <x:c r="B14" t="n">
        <x:f>COUNTIF('Acceptance Gates'!C2:C100,"PARTIAL")</x:f>
        <x:v>4</x:v>
      </x:c>
      <x:c r="D14" s="46"/>
      <x:c r="E14" s="46"/>
      <x:c r="F14" s="46"/>
      <x:c r="G14" s="46"/>
      <x:c r="H14" s="46"/>
    </x:row>
    <x:row r="15">
      <x:c r="A15" s="36" t="str">
        <x:v>BLOCKED + OPEN gates</x:v>
      </x:c>
      <x:c r="B15" t="n">
        <x:f>COUNTIF('Acceptance Gates'!C2:C100,"BLOCKED")+COUNTIF('Acceptance Gates'!C2:C100,"OPEN")</x:f>
        <x:v>13</x:v>
      </x:c>
      <x:c r="D15" s="46"/>
      <x:c r="E15" s="46"/>
      <x:c r="F15" s="46"/>
      <x:c r="G15" s="46"/>
      <x:c r="H15" s="46"/>
    </x:row>
    <x:row r="16">
      <x:c r="A16" s="36" t="str">
        <x:v>24 VDC demand (W)</x:v>
      </x:c>
      <x:c r="B16" t="n">
        <x:f>55+24+120+100</x:f>
        <x:v>299</x:v>
      </x:c>
    </x:row>
    <x:row r="17">
      <x:c r="A17" s="36" t="str">
        <x:v>Minimum current for 25% margin (A)</x:v>
      </x:c>
      <x:c r="B17" t="n">
        <x:f>(55+24+120+100)/24*1.25</x:f>
        <x:v>15.572916666666668</x:v>
      </x:c>
    </x:row>
  </x:sheetData>
  <x:mergeCells>
    <x:mergeCell ref="A1:H2"/>
    <x:mergeCell ref="A3:H3"/>
    <x:mergeCell ref="A4:H4"/>
    <x:mergeCell ref="D5:H5"/>
    <x:mergeCell ref="D6:H15"/>
  </x:mergeCells>
  <x:pageMargins left="0.7" right="0.7" top="0.75" bottom="0.75" header="0.3" footer="0.3"/>
</x:worksheet>
</file>